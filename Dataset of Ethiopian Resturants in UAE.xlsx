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kek\Desktop\"/>
    </mc:Choice>
  </mc:AlternateContent>
  <xr:revisionPtr revIDLastSave="0" documentId="8_{BAE9A831-8537-423F-976C-78A1EC4216F6}" xr6:coauthVersionLast="47" xr6:coauthVersionMax="47" xr10:uidLastSave="{00000000-0000-0000-0000-000000000000}"/>
  <bookViews>
    <workbookView xWindow="-120" yWindow="-120" windowWidth="29040" windowHeight="15720" xr2:uid="{81ADF580-22A8-4E1B-9BA3-5D064DEE1125}"/>
  </bookViews>
  <sheets>
    <sheet name="Sheet1" sheetId="1" r:id="rId1"/>
  </sheets>
  <definedNames>
    <definedName name="_xlnm._FilterDatabase" localSheetId="0" hidden="1">Sheet1!$A$1:$V$15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7" i="1" l="1"/>
  <c r="J57" i="1"/>
  <c r="I57" i="1"/>
  <c r="H57" i="1"/>
  <c r="Q57" i="1"/>
  <c r="D57" i="1"/>
  <c r="K56" i="1"/>
  <c r="J56" i="1"/>
  <c r="I56" i="1"/>
  <c r="H56" i="1"/>
  <c r="G56" i="1"/>
  <c r="D56" i="1"/>
  <c r="Q55" i="1"/>
  <c r="G55" i="1"/>
  <c r="K55" i="1"/>
  <c r="J55" i="1"/>
  <c r="I55" i="1"/>
  <c r="H55" i="1"/>
  <c r="K53" i="1"/>
  <c r="D55" i="1"/>
  <c r="K49" i="1"/>
  <c r="H52" i="1"/>
  <c r="J50" i="1"/>
  <c r="K48" i="1"/>
  <c r="K52" i="1"/>
  <c r="J52" i="1"/>
  <c r="Q53" i="1"/>
  <c r="J53" i="1"/>
  <c r="F53" i="1"/>
  <c r="D53" i="1"/>
  <c r="Q49" i="1"/>
  <c r="I49" i="1"/>
  <c r="D49" i="1"/>
  <c r="G52" i="1"/>
  <c r="D52" i="1"/>
  <c r="Q50" i="1"/>
  <c r="K50" i="1"/>
  <c r="Q48" i="1"/>
  <c r="I50" i="1"/>
  <c r="D46" i="1"/>
  <c r="H50" i="1"/>
  <c r="G50" i="1"/>
  <c r="I48" i="1"/>
  <c r="D50" i="1"/>
  <c r="F41" i="1"/>
  <c r="D48" i="1"/>
  <c r="Q47" i="1"/>
  <c r="J47" i="1"/>
  <c r="I47" i="1"/>
  <c r="H47" i="1"/>
  <c r="D47" i="1"/>
  <c r="Q41" i="1"/>
  <c r="H41" i="1"/>
  <c r="D41" i="1"/>
  <c r="F33" i="1"/>
  <c r="D33" i="1"/>
  <c r="J7" i="1"/>
  <c r="J4" i="1"/>
  <c r="J2" i="1"/>
  <c r="I15" i="1"/>
  <c r="I4" i="1"/>
  <c r="I3" i="1"/>
  <c r="G3" i="1"/>
  <c r="H2" i="1"/>
  <c r="F15" i="1"/>
  <c r="F16" i="1"/>
  <c r="F17" i="1"/>
  <c r="F3" i="1"/>
  <c r="F4" i="1"/>
  <c r="F5" i="1"/>
  <c r="F6" i="1"/>
  <c r="F7" i="1"/>
  <c r="F8" i="1"/>
  <c r="F9" i="1"/>
  <c r="F10" i="1"/>
  <c r="F12" i="1"/>
  <c r="F13" i="1"/>
  <c r="F2" i="1"/>
</calcChain>
</file>

<file path=xl/sharedStrings.xml><?xml version="1.0" encoding="utf-8"?>
<sst xmlns="http://schemas.openxmlformats.org/spreadsheetml/2006/main" count="914" uniqueCount="314">
  <si>
    <t>BRAND_NAME</t>
  </si>
  <si>
    <t>STATE</t>
  </si>
  <si>
    <t>BRANCH_LOCATION</t>
  </si>
  <si>
    <t>WHATSAPP_LINK(WILL BE HIDED)</t>
  </si>
  <si>
    <t>WHATAPP LINK</t>
  </si>
  <si>
    <t xml:space="preserve">WEBISTE </t>
  </si>
  <si>
    <t>INSTAGRAM_LINK</t>
  </si>
  <si>
    <t>TIKTOK_LINK</t>
  </si>
  <si>
    <t>FACEBOOK_LINK</t>
  </si>
  <si>
    <t>MENU</t>
  </si>
  <si>
    <t>DELIVERY_PARTNER_1</t>
  </si>
  <si>
    <t>DELIVERY_PARTNER_2</t>
  </si>
  <si>
    <t>DELIVERY_PARTNER_3</t>
  </si>
  <si>
    <t>DELIVERY_PARTNER_4</t>
  </si>
  <si>
    <t>DELIVERY_PARTNER_5</t>
  </si>
  <si>
    <t>IMAGE_FILE_PATH</t>
  </si>
  <si>
    <t>DINE_IN_STATUS</t>
  </si>
  <si>
    <t>DINE_IN_SEATING</t>
  </si>
  <si>
    <t>WHEELCHAIR_ACCESS</t>
  </si>
  <si>
    <t>CULTURAL_COFFEE</t>
  </si>
  <si>
    <t>ADDITIONAL_FEATURES</t>
  </si>
  <si>
    <t>Bonna anne</t>
  </si>
  <si>
    <t xml:space="preserve">Abu Dhabi </t>
  </si>
  <si>
    <t>map</t>
  </si>
  <si>
    <t>Bonna Anne</t>
  </si>
  <si>
    <t>themselves</t>
  </si>
  <si>
    <t>None</t>
  </si>
  <si>
    <t>yes</t>
  </si>
  <si>
    <t>Sheger</t>
  </si>
  <si>
    <t>menu_sheger</t>
  </si>
  <si>
    <t xml:space="preserve">Talabat </t>
  </si>
  <si>
    <t>Themselves(COD)</t>
  </si>
  <si>
    <t>Fayida</t>
  </si>
  <si>
    <t>+971 565604941</t>
  </si>
  <si>
    <t>fayda</t>
  </si>
  <si>
    <t>Themselves(Website)</t>
  </si>
  <si>
    <t>Themselves(Whatsapp)</t>
  </si>
  <si>
    <t xml:space="preserve">identifies as women owned </t>
  </si>
  <si>
    <t>Kitfo</t>
  </si>
  <si>
    <t>https://kitforestaurant.com/</t>
  </si>
  <si>
    <t>tik tok</t>
  </si>
  <si>
    <t xml:space="preserve">face book  , </t>
  </si>
  <si>
    <t>kitfo menu</t>
  </si>
  <si>
    <t>deliverio</t>
  </si>
  <si>
    <t>noon(Free)</t>
  </si>
  <si>
    <t>keeta(0aed)</t>
  </si>
  <si>
    <t>images</t>
  </si>
  <si>
    <t>abyssinia resturant</t>
  </si>
  <si>
    <t xml:space="preserve">None </t>
  </si>
  <si>
    <t>menu_abyssinia</t>
  </si>
  <si>
    <t xml:space="preserve">Themselves through WhatsApp </t>
  </si>
  <si>
    <t>DOUBTFUL</t>
  </si>
  <si>
    <t>al habsha</t>
  </si>
  <si>
    <t>+971 501516261</t>
  </si>
  <si>
    <t>https://www.alhabasharestaurant.com/</t>
  </si>
  <si>
    <t>Al Habesha Menu.docx</t>
  </si>
  <si>
    <t>Delivery</t>
  </si>
  <si>
    <t>natan</t>
  </si>
  <si>
    <t>971 503964292</t>
  </si>
  <si>
    <t xml:space="preserve">TRUE </t>
  </si>
  <si>
    <t>NO CEREMONY BUT COFFEE</t>
  </si>
  <si>
    <t>a basic cafe not much of  a restaurant</t>
  </si>
  <si>
    <t>gebeta</t>
  </si>
  <si>
    <t>+971 544445516</t>
  </si>
  <si>
    <t>None (inactive with 5 followers)</t>
  </si>
  <si>
    <t>Gebeta restaurant.docx</t>
  </si>
  <si>
    <t>Talabat</t>
  </si>
  <si>
    <t>the whatsapp is all messed up check again</t>
  </si>
  <si>
    <t>aflatoon refreshment</t>
  </si>
  <si>
    <t>facebook</t>
  </si>
  <si>
    <t>menu_aflatun refreshment</t>
  </si>
  <si>
    <t xml:space="preserve">covers small area delivery tho with in the neighborhood </t>
  </si>
  <si>
    <t>al ajwa ሃናን</t>
  </si>
  <si>
    <t>Delivero</t>
  </si>
  <si>
    <t>al amani al jamela</t>
  </si>
  <si>
    <t>+971 557279077</t>
  </si>
  <si>
    <t>ethiopian star</t>
  </si>
  <si>
    <t>missing</t>
  </si>
  <si>
    <t>bab al habesha</t>
  </si>
  <si>
    <t>Website</t>
  </si>
  <si>
    <t>Instagram link</t>
  </si>
  <si>
    <t>menu_bab alhabesha</t>
  </si>
  <si>
    <t>https://babalhabeshafoods.com/</t>
  </si>
  <si>
    <t xml:space="preserve">mesert al taye café </t>
  </si>
  <si>
    <t>+971 505392488</t>
  </si>
  <si>
    <t>Meseret al Taye Restaurant menu.docx</t>
  </si>
  <si>
    <t>done ethiopian</t>
  </si>
  <si>
    <t>+971 58 939 9203</t>
  </si>
  <si>
    <t>basically no menu</t>
  </si>
  <si>
    <t>none</t>
  </si>
  <si>
    <t xml:space="preserve">very unorganized </t>
  </si>
  <si>
    <t>Kidist Leyu Kitfo</t>
  </si>
  <si>
    <t xml:space="preserve">Sharjah </t>
  </si>
  <si>
    <t xml:space="preserve">map </t>
  </si>
  <si>
    <t>https://wa.me/971526631407</t>
  </si>
  <si>
    <t>tiktok</t>
  </si>
  <si>
    <t>https://www.myfoodmenu.online/sahil_ethiopey.html</t>
  </si>
  <si>
    <t>/KidistLiyu</t>
  </si>
  <si>
    <t>UNKNOWN</t>
  </si>
  <si>
    <t>Addis Ababa City Restaurant</t>
  </si>
  <si>
    <t>Al Mahatta, Al Qasimiah, Sharjah, UAE</t>
  </si>
  <si>
    <t>https://wa.me/971551258863</t>
  </si>
  <si>
    <t>https://www.zomato.com/sharjah/addis-ababa-city-restaurant-al-mahatah/menu</t>
  </si>
  <si>
    <t>/Addis Ababa Restaurant</t>
  </si>
  <si>
    <t>Addis Ababa Cafe &amp; Res</t>
  </si>
  <si>
    <t>Al Nad, Al Qasimiah, Sharjah, UAE</t>
  </si>
  <si>
    <t>https://wa.me/971554989415</t>
  </si>
  <si>
    <t>https://piassa.netlify.app/menu</t>
  </si>
  <si>
    <t>/AddisAbabaCafe</t>
  </si>
  <si>
    <t>Ethiopia Cafeteria &amp; Restaurant</t>
  </si>
  <si>
    <t>Al Hareth Bin Street - Al Yarmook - Halwan - Sharjah</t>
  </si>
  <si>
    <t>https://wa.me/971556370564</t>
  </si>
  <si>
    <t>menu</t>
  </si>
  <si>
    <t>/EthiopiaCafeAndRes</t>
  </si>
  <si>
    <t>Ermias Solomon Restaurant</t>
  </si>
  <si>
    <t>Bu Daniq, Hay Al Qasimiah, Sharjah, UAE</t>
  </si>
  <si>
    <t>https://wa.me/971554266511</t>
  </si>
  <si>
    <t>Instagram Link</t>
  </si>
  <si>
    <t>https://ermicafe.yegna.menu/</t>
  </si>
  <si>
    <t>Keeta</t>
  </si>
  <si>
    <t>Rahma Haider cafe</t>
  </si>
  <si>
    <t>Al Nad - Hay Al Qasimiah - Sharjah</t>
  </si>
  <si>
    <t>https://wa.me/971556887182</t>
  </si>
  <si>
    <t>Tiktok</t>
  </si>
  <si>
    <t>Menu</t>
  </si>
  <si>
    <t>image</t>
  </si>
  <si>
    <t>Aberos restaurant አበሮስ</t>
  </si>
  <si>
    <t>3 34th St - Bu Shaghara - Hay Al Qasimiah - Sharjah</t>
  </si>
  <si>
    <t>Rukn Al Yash Cafeteria</t>
  </si>
  <si>
    <t>Al Majaz 2, Al Majaz, Sharjah, UAE</t>
  </si>
  <si>
    <t>056 776 6135</t>
  </si>
  <si>
    <t>https://wa.me/971567766135</t>
  </si>
  <si>
    <t>Facebook</t>
  </si>
  <si>
    <t>GADA CAFE AND RESTAURANT</t>
  </si>
  <si>
    <t>Ajman</t>
  </si>
  <si>
    <t>Al Hamidiya 1, Ajman</t>
  </si>
  <si>
    <t>+971 54 569 4593</t>
  </si>
  <si>
    <t>https://wa.me/971545694593</t>
  </si>
  <si>
    <t>https://food.noon.com/uae-en/outlet/GDRSTRXXOL/</t>
  </si>
  <si>
    <t>/GedaCafeAndRestaurant</t>
  </si>
  <si>
    <t>Al-Habasha Restaurant</t>
  </si>
  <si>
    <t>Al Nakhil 1, Ajman</t>
  </si>
  <si>
    <t>+971 55 850 8702</t>
  </si>
  <si>
    <t>https://wa.me/971558508702</t>
  </si>
  <si>
    <t>https://www.alhabasharestaurant.com/food-menu/</t>
  </si>
  <si>
    <t>Sheger Restaurant ሸገር</t>
  </si>
  <si>
    <t>Al Nuaimia 1, Ajman</t>
  </si>
  <si>
    <t>+971 50 435 9291</t>
  </si>
  <si>
    <t>https://wa.me/971504359291</t>
  </si>
  <si>
    <t>Injera Garden Cafe &amp; Restaurant</t>
  </si>
  <si>
    <t>+971 54 750 5690</t>
  </si>
  <si>
    <t>https://wa.me/971547505690</t>
  </si>
  <si>
    <t>Injera garden | Facebook</t>
  </si>
  <si>
    <t>BAIT AL QAHWA CAFETERIA</t>
  </si>
  <si>
    <t>Al Rashidiya 1, Ajman</t>
  </si>
  <si>
    <t>https://wa.me/971545545886</t>
  </si>
  <si>
    <t>Taam Ethiopian restaurant Al Nuhemiya</t>
  </si>
  <si>
    <t>https://wa.me/971503573661</t>
  </si>
  <si>
    <t>Nejran cafeteria ነጅራን ባህላዊ ምግብ ቤት</t>
  </si>
  <si>
    <t>Al Owan - Al Nakhil 2 - Ajman - United Arab Emirates</t>
  </si>
  <si>
    <t>https://wa.me/971556713521</t>
  </si>
  <si>
    <t>Blue Nile cafe</t>
  </si>
  <si>
    <t>Dubai</t>
  </si>
  <si>
    <r>
      <rPr>
        <sz val="7"/>
        <color rgb="FF000000"/>
        <rFont val="Times New Roman"/>
      </rPr>
      <t xml:space="preserve"> </t>
    </r>
    <r>
      <rPr>
        <sz val="12"/>
        <color rgb="FF000000"/>
        <rFont val="Aptos"/>
      </rPr>
      <t>Addis Ababa Restaurant</t>
    </r>
  </si>
  <si>
    <t xml:space="preserve">Fujarah </t>
  </si>
  <si>
    <t xml:space="preserve">    +971 581890760</t>
  </si>
  <si>
    <t xml:space="preserve">https://wa.me/971581890760 </t>
  </si>
  <si>
    <t>Al durrah cafteria</t>
  </si>
  <si>
    <t xml:space="preserve">       +971 52 3029911 </t>
  </si>
  <si>
    <t>https://wa.me/971523029911</t>
  </si>
  <si>
    <t xml:space="preserve">Menu </t>
  </si>
  <si>
    <t xml:space="preserve">Images </t>
  </si>
  <si>
    <t>UNKWOWN</t>
  </si>
  <si>
    <t>Canari Cafeteria</t>
  </si>
  <si>
    <t>+971 54 776 0002</t>
  </si>
  <si>
    <t>https://wa.me/971547760002</t>
  </si>
  <si>
    <t xml:space="preserve">UNKNOWN </t>
  </si>
  <si>
    <r>
      <rPr>
        <sz val="7"/>
        <color rgb="FF1F1F1F"/>
        <rFont val="Times New Roman"/>
      </rPr>
      <t xml:space="preserve"> </t>
    </r>
    <r>
      <rPr>
        <sz val="12"/>
        <color rgb="FF1F1F1F"/>
        <rFont val="Roboto"/>
      </rPr>
      <t>ABU AYMEN RESTAURANT አቡአይመን ምግብ ቤት</t>
    </r>
  </si>
  <si>
    <t>+971 555876013</t>
  </si>
  <si>
    <t>https://wa.me/971555876013</t>
  </si>
  <si>
    <t>Dukem Restaurant Villa Branch 2</t>
  </si>
  <si>
    <t>https://wa.me/971507547039</t>
  </si>
  <si>
    <t>WEBSITE</t>
  </si>
  <si>
    <t>Deliveroo</t>
  </si>
  <si>
    <t xml:space="preserve">Noon </t>
  </si>
  <si>
    <t>Careem</t>
  </si>
  <si>
    <t>Mechot Restaurant Dubai</t>
  </si>
  <si>
    <t>https://wa.me/971501245858</t>
  </si>
  <si>
    <t xml:space="preserve">Fasika Coffee Shops and Restaurants </t>
  </si>
  <si>
    <t>https://wa.me/971506612760</t>
  </si>
  <si>
    <t>Images</t>
  </si>
  <si>
    <t>Tigi Ethiopian cafeteria and cafe</t>
  </si>
  <si>
    <t>UNKOWN</t>
  </si>
  <si>
    <t>Enat Restaurant </t>
  </si>
  <si>
    <t>https://wa.me/971581740645</t>
  </si>
  <si>
    <t>Mechot Restaurant </t>
  </si>
  <si>
    <t>Noon</t>
  </si>
  <si>
    <t>Eth Restaurant Piassa </t>
  </si>
  <si>
    <t>https://wa.me/971586547170</t>
  </si>
  <si>
    <t>Jima Restaurant </t>
  </si>
  <si>
    <t>https://wa.me/971542461768</t>
  </si>
  <si>
    <t>Blue Nile cafe </t>
  </si>
  <si>
    <t>042726118 (Call)</t>
  </si>
  <si>
    <t>-</t>
  </si>
  <si>
    <t>Fidel lounge</t>
  </si>
  <si>
    <t>https://wa.me/971544474872</t>
  </si>
  <si>
    <t xml:space="preserve">Fike Kurtena Kitfo </t>
  </si>
  <si>
    <t>https://wa.me/971508642185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</si>
  <si>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ptos"/>
        <family val="2"/>
      </rPr>
      <t>Afro Continental Restaurant</t>
    </r>
  </si>
  <si>
    <t>https://wa.me/971509059833</t>
  </si>
  <si>
    <t xml:space="preserve">Ethiopian Green Restaurant </t>
  </si>
  <si>
    <t>https://wa.me/971561287841</t>
  </si>
  <si>
    <t>keeta</t>
  </si>
  <si>
    <t>Dukem Grill &amp; Restaurant</t>
  </si>
  <si>
    <t>https://wa.me/971555590322</t>
  </si>
  <si>
    <t>Image</t>
  </si>
  <si>
    <t>Al Habasha Restaurant </t>
  </si>
  <si>
    <t>https://wa.me/971502813581</t>
  </si>
  <si>
    <t>Sahel Al Dahab Cafe &amp; Restaurant</t>
  </si>
  <si>
    <t xml:space="preserve">Kiloole Restaurant </t>
  </si>
  <si>
    <t>https://wa.me/971502512797</t>
  </si>
  <si>
    <t xml:space="preserve">Image </t>
  </si>
  <si>
    <t>Cucina Mesob Ethiopian Restaurant  </t>
  </si>
  <si>
    <t>https://wa.me/971567754012</t>
  </si>
  <si>
    <t>careem, smiles</t>
  </si>
  <si>
    <t>Beteseb Restaurant </t>
  </si>
  <si>
    <t>https://wa.me/971589867101</t>
  </si>
  <si>
    <t>Zagol Restaurant</t>
  </si>
  <si>
    <t xml:space="preserve">https://wa.me/971509761624 </t>
  </si>
  <si>
    <t>Sara Lemma restaurant  </t>
  </si>
  <si>
    <t>0562807696 </t>
  </si>
  <si>
    <t>https://wa.me/971562807696</t>
  </si>
  <si>
    <t>No</t>
  </si>
  <si>
    <t>INSTAGRAM LINK</t>
  </si>
  <si>
    <t>TIKTOK LINK</t>
  </si>
  <si>
    <t>FACEBOOK LINK</t>
  </si>
  <si>
    <t>Careem Food</t>
  </si>
  <si>
    <t>YES</t>
  </si>
  <si>
    <t>Bonna Annee Restaurant</t>
  </si>
  <si>
    <t>042660323 </t>
  </si>
  <si>
    <t>https://wa.me/97142660323</t>
  </si>
  <si>
    <t>FACEBOOK</t>
  </si>
  <si>
    <t>Milen Restaurant</t>
  </si>
  <si>
    <t>042208477 </t>
  </si>
  <si>
    <t>https://wa.me/97142208477</t>
  </si>
  <si>
    <t>TIKTOK</t>
  </si>
  <si>
    <t>Love Grass Restaurant</t>
  </si>
  <si>
    <t>0547910445 /04 2366092</t>
  </si>
  <si>
    <t>https://wa.me/971547910445</t>
  </si>
  <si>
    <t>Akkoo Coffee &amp; Restaurant L.L.C </t>
  </si>
  <si>
    <t>0567765111 </t>
  </si>
  <si>
    <t>https://wa.me/971567765111</t>
  </si>
  <si>
    <t>INSTAGRAM</t>
  </si>
  <si>
    <t>coordinate</t>
  </si>
  <si>
    <t>24.489054321203113, 54.38106746146493</t>
  </si>
  <si>
    <t>24.489876204802425, 54.3830030701818</t>
  </si>
  <si>
    <t>24.46469059237756, 54.38206297509863</t>
  </si>
  <si>
    <t>24.4715590031452, 54.34795139937762</t>
  </si>
  <si>
    <t>24.33015103264884, 54.53430544478142</t>
  </si>
  <si>
    <t>24.460587550221224, 54.386492528518346</t>
  </si>
  <si>
    <t>24.463676644786254, 54.381880475983984</t>
  </si>
  <si>
    <t>24.49875958577046, 54.370173841400955</t>
  </si>
  <si>
    <t>24.33711884037055, 54.5361509445111</t>
  </si>
  <si>
    <t>24.46445760020303, 54.38214505976674</t>
  </si>
  <si>
    <t>24.461956582616747, 54.38310265190459</t>
  </si>
  <si>
    <t>24.329881046431872, 54.53364814275976</t>
  </si>
  <si>
    <t>24.50277487705633, 54.37506728961089</t>
  </si>
  <si>
    <t>24.47469610460217, 54.35280227937898</t>
  </si>
  <si>
    <t>24.46138210609736, 54.38576252847303</t>
  </si>
  <si>
    <t>25.347371062229648, 55.402492295949656</t>
  </si>
  <si>
    <t>25.347183751760262, 55.39753059586651</t>
  </si>
  <si>
    <t>25.340595328090384, 55.392927940829324</t>
  </si>
  <si>
    <t>25.345974740248614, 55.40496412056731</t>
  </si>
  <si>
    <t>25.342555129871133, 55.40234989322036</t>
  </si>
  <si>
    <t>25.3423668516416, 55.39106466863004</t>
  </si>
  <si>
    <t>25.33800885518135, 55.395622063613786</t>
  </si>
  <si>
    <t>25.320289708864955, 55.384112077965646</t>
  </si>
  <si>
    <t>25.38423835020351, 55.45152339632616</t>
  </si>
  <si>
    <t>25.409914537025553, 55.43748823558356</t>
  </si>
  <si>
    <t>25.388818483418465, 55.45890206583037</t>
  </si>
  <si>
    <t>25.382707565293103, 55.45696424415575</t>
  </si>
  <si>
    <t>25.40096205144843, 55.45162527289817</t>
  </si>
  <si>
    <t>25.386207676880574, 55.461901562935935</t>
  </si>
  <si>
    <t>25.410530675460308, 55.43705510437433</t>
  </si>
  <si>
    <t>25.27522154506798, 55.30439415539815</t>
  </si>
  <si>
    <t>25.139496322096612, 56.34468385662905</t>
  </si>
  <si>
    <t>25.12575400011238, 56.33779022100989</t>
  </si>
  <si>
    <t>25.126063084474588, 56.339722140212444</t>
  </si>
  <si>
    <t>25.280072057166944, 56.360941017565736</t>
  </si>
  <si>
    <t>25.289199727463533, 55.345999527758764</t>
  </si>
  <si>
    <t>25.278947840424365, 55.31479509393565</t>
  </si>
  <si>
    <t>25.28050410540805, 55.349375846758655</t>
  </si>
  <si>
    <t>25.26769934675785, 55.3042997536987</t>
  </si>
  <si>
    <t>25.276514150815554, 55.348922741107664</t>
  </si>
  <si>
    <t>25.27878889637659, 55.3474351901508</t>
  </si>
  <si>
    <t>25.27933311196129, 55.34463567314906</t>
  </si>
  <si>
    <t>25.280344025870395, 55.344491935740926</t>
  </si>
  <si>
    <t>25.28053598521728, 55.345415871899675</t>
  </si>
  <si>
    <t>25.24909067174966, 55.302831525745766</t>
  </si>
  <si>
    <t>25.109286484158197, 55.2030943036896</t>
  </si>
  <si>
    <t>25.279464799895685, 55.347600082325485</t>
  </si>
  <si>
    <t>25.295959423158074, 55.37038575453268</t>
  </si>
  <si>
    <t>25.273543028747834, 55.30150539178336</t>
  </si>
  <si>
    <t>25.280289171993182, 55.34850014720915</t>
  </si>
  <si>
    <t>25.278756586105974, 55.312456055874975</t>
  </si>
  <si>
    <t>25.27771074307058, 55.34783597639249</t>
  </si>
  <si>
    <t>25.269227726520977, 55.303050119576355</t>
  </si>
  <si>
    <t>25.279461782219496, 55.34448483969952</t>
  </si>
  <si>
    <t>25.260595396800955, 55.324903889989926</t>
  </si>
  <si>
    <t>25.27522302351061, 55.304386587138744</t>
  </si>
  <si>
    <t>25.277473645982983, 55.3092519660181</t>
  </si>
  <si>
    <t>25.282084899017725, 55.33546355029221</t>
  </si>
  <si>
    <t>25.278944063852716, 55.314797916754685</t>
  </si>
  <si>
    <t>25.270016544693696, 55.30371858220746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</si>
</sst>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9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Calibri"/>
    </font>
    <font>
      <sz val="12"/>
      <color theme="1"/>
      <name val="Aptos"/>
      <charset val="1"/>
    </font>
    <font>
      <sz val="12"/>
      <color theme="1"/>
      <name val="Aptos"/>
      <family val="2"/>
      <charset val="1"/>
    </font>
    <font>
      <sz val="7"/>
      <color rgb="FF000000"/>
      <name val="Times New Roman"/>
    </font>
    <font>
      <sz val="12"/>
      <color rgb="FF000000"/>
      <name val="Aptos"/>
    </font>
    <font>
      <sz val="12"/>
      <color rgb="FF000000"/>
      <name val="Aptos"/>
      <family val="2"/>
      <charset val="1"/>
    </font>
    <font>
      <sz val="12"/>
      <color rgb="FF1F1F1F"/>
      <name val="Roboto"/>
      <charset val="1"/>
    </font>
    <font>
      <sz val="7"/>
      <color rgb="FF1F1F1F"/>
      <name val="Times New Roman"/>
    </font>
    <font>
      <sz val="12"/>
      <color rgb="FF1F1F1F"/>
      <name val="Roboto"/>
    </font>
    <font>
      <sz val="12"/>
      <color theme="1"/>
      <name val="Aptos"/>
      <family val="2"/>
    </font>
    <font>
      <sz val="12"/>
      <color rgb="FF000000"/>
      <name val="Aptos"/>
      <charset val="1"/>
    </font>
    <font>
      <sz val="12"/>
      <color rgb="FF000000"/>
      <name val="WordVisi_MSFontService"/>
      <charset val="1"/>
    </font>
    <font>
      <sz val="12"/>
      <color rgb="FF000000"/>
      <name val="Times New Roman"/>
      <charset val="1"/>
    </font>
    <font>
      <b/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Aptos"/>
      <family val="2"/>
    </font>
    <font>
      <sz val="7"/>
      <color rgb="FF000000"/>
      <name val="Times New Roman"/>
      <family val="1"/>
    </font>
    <font>
      <sz val="11"/>
      <color rgb="FF000000"/>
      <name val="Aptos Narrow"/>
      <charset val="1"/>
    </font>
    <font>
      <sz val="11"/>
      <color rgb="FF000000"/>
      <name val="Aptos Narrow"/>
      <family val="2"/>
    </font>
    <font>
      <sz val="12"/>
      <color rgb="FF00B050"/>
      <name val="WordVisi_MSFontService"/>
    </font>
    <font>
      <sz val="11"/>
      <color rgb="FF050505"/>
      <name val="Segoe UI Historic"/>
      <charset val="1"/>
    </font>
  </fonts>
  <fills count="5">
    <fill>
      <patternFill patternType="none"/>
    </fill>
    <fill>
      <patternFill patternType="gray125"/>
    </fill>
    <fill>
      <patternFill patternType="solid">
        <fgColor rgb="FF61CBF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5">
    <xf numFmtId="0" fontId="0" fillId="0" borderId="0" xfId="0"/>
    <xf numFmtId="0" fontId="6" fillId="0" borderId="0" xfId="1"/>
    <xf numFmtId="0" fontId="2" fillId="0" borderId="0" xfId="0" applyFont="1"/>
    <xf numFmtId="0" fontId="6" fillId="0" borderId="0" xfId="1" applyBorder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6" fillId="0" borderId="0" xfId="1" applyBorder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  <xf numFmtId="0" fontId="8" fillId="0" borderId="0" xfId="0" applyFont="1"/>
    <xf numFmtId="0" fontId="6" fillId="0" borderId="0" xfId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1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9" fillId="0" borderId="1" xfId="0" applyFont="1" applyBorder="1"/>
    <xf numFmtId="0" fontId="10" fillId="0" borderId="0" xfId="0" applyFont="1"/>
    <xf numFmtId="0" fontId="13" fillId="0" borderId="0" xfId="0" applyFont="1"/>
    <xf numFmtId="0" fontId="14" fillId="0" borderId="0" xfId="0" applyFont="1" applyAlignment="1">
      <alignment wrapText="1"/>
    </xf>
    <xf numFmtId="0" fontId="6" fillId="0" borderId="0" xfId="1" applyAlignment="1">
      <alignment horizontal="center" wrapText="1"/>
    </xf>
    <xf numFmtId="0" fontId="6" fillId="0" borderId="0" xfId="1" applyAlignment="1">
      <alignment horizontal="center"/>
    </xf>
    <xf numFmtId="0" fontId="17" fillId="0" borderId="0" xfId="0" applyFont="1"/>
    <xf numFmtId="0" fontId="6" fillId="0" borderId="0" xfId="1" applyAlignment="1">
      <alignment horizontal="left"/>
    </xf>
    <xf numFmtId="0" fontId="17" fillId="0" borderId="0" xfId="0" applyFont="1" applyAlignment="1">
      <alignment horizontal="center" vertical="center"/>
    </xf>
    <xf numFmtId="0" fontId="2" fillId="0" borderId="0" xfId="1" applyFont="1" applyBorder="1"/>
    <xf numFmtId="0" fontId="6" fillId="0" borderId="0" xfId="1" applyFill="1" applyBorder="1" applyAlignment="1">
      <alignment horizontal="center"/>
    </xf>
    <xf numFmtId="0" fontId="17" fillId="0" borderId="0" xfId="0" applyFont="1" applyAlignment="1">
      <alignment horizontal="left" vertical="center"/>
    </xf>
    <xf numFmtId="0" fontId="18" fillId="0" borderId="0" xfId="0" applyFont="1"/>
    <xf numFmtId="164" fontId="0" fillId="4" borderId="0" xfId="0" applyNumberFormat="1" applyFill="1" applyAlignment="1">
      <alignment horizontal="center"/>
    </xf>
    <xf numFmtId="164" fontId="19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6" fillId="0" borderId="0" xfId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1" fillId="0" borderId="0" xfId="0" applyFont="1"/>
    <xf numFmtId="164" fontId="22" fillId="0" borderId="0" xfId="0" applyNumberFormat="1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1" applyAlignment="1">
      <alignment horizontal="center" vertical="center" wrapText="1"/>
    </xf>
    <xf numFmtId="0" fontId="20" fillId="0" borderId="0" xfId="0" applyFont="1"/>
    <xf numFmtId="0" fontId="6" fillId="0" borderId="0" xfId="1" applyAlignment="1">
      <alignment wrapText="1"/>
    </xf>
    <xf numFmtId="0" fontId="25" fillId="0" borderId="0" xfId="0" applyFont="1"/>
    <xf numFmtId="0" fontId="26" fillId="0" borderId="0" xfId="0" applyFont="1"/>
    <xf numFmtId="0" fontId="19" fillId="0" borderId="0" xfId="0" applyFont="1"/>
    <xf numFmtId="0" fontId="27" fillId="0" borderId="0" xfId="0" applyFont="1"/>
    <xf numFmtId="0" fontId="2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mechotrestaurantdubai?utm_source=ig_web_button_share_sheet&amp;igsh=ZDNlZDc0MzIxNw==" TargetMode="External"/><Relationship Id="rId21" Type="http://schemas.openxmlformats.org/officeDocument/2006/relationships/hyperlink" Target="https://hctuae-my.sharepoint.com/:w:/g/personal/h00540235_hct_ac_ae/IQAEE26tq5A1RKgCrV4jXTM9AU6X2lU3o_HPBGpxXpLjQ8E?e=yJ4mgP" TargetMode="External"/><Relationship Id="rId42" Type="http://schemas.openxmlformats.org/officeDocument/2006/relationships/hyperlink" Target="https://wa.me/971554989415" TargetMode="External"/><Relationship Id="rId63" Type="http://schemas.openxmlformats.org/officeDocument/2006/relationships/hyperlink" Target="https://www.tiktok.com/@najrancafeteria" TargetMode="External"/><Relationship Id="rId84" Type="http://schemas.openxmlformats.org/officeDocument/2006/relationships/hyperlink" Target="https://wa.me/971523029911" TargetMode="External"/><Relationship Id="rId138" Type="http://schemas.openxmlformats.org/officeDocument/2006/relationships/hyperlink" Target="https://dukemrestaurant.ae/" TargetMode="External"/><Relationship Id="rId159" Type="http://schemas.openxmlformats.org/officeDocument/2006/relationships/hyperlink" Target="https://www.tiktok.com/@cucinmesob?_r=1&amp;_t=ZS-97NNCuD96KT" TargetMode="External"/><Relationship Id="rId170" Type="http://schemas.openxmlformats.org/officeDocument/2006/relationships/hyperlink" Target="https://www.instagram.com/dukem_uae?utm_source=ig_web_button_share_sheet&amp;igsh=ZDNlZDc0MzIxNw==" TargetMode="External"/><Relationship Id="rId191" Type="http://schemas.openxmlformats.org/officeDocument/2006/relationships/hyperlink" Target="https://www.tiktok.com/@zagol.dubai?_r=1&amp;_t=ZS-97NRcA08hC0" TargetMode="External"/><Relationship Id="rId205" Type="http://schemas.openxmlformats.org/officeDocument/2006/relationships/hyperlink" Target="https://vt.tiktok.com/ZSCdueEuG" TargetMode="External"/><Relationship Id="rId226" Type="http://schemas.openxmlformats.org/officeDocument/2006/relationships/hyperlink" Target="https://1drv.ms/i/c/b368c78a96c111fc/IQACPLVkHHCJTaRxshNPFB1ZAegHhI8jeNjgR4DeX9G3Ol4?e=x62dBB" TargetMode="External"/><Relationship Id="rId107" Type="http://schemas.openxmlformats.org/officeDocument/2006/relationships/hyperlink" Target="https://wa.me/971501245858" TargetMode="External"/><Relationship Id="rId11" Type="http://schemas.openxmlformats.org/officeDocument/2006/relationships/hyperlink" Target="https://maps.app.goo.gl/6NqiVj1N2F7G8U4NA" TargetMode="External"/><Relationship Id="rId32" Type="http://schemas.openxmlformats.org/officeDocument/2006/relationships/hyperlink" Target="https://www.google.com/maps?q=89CM%2B4J9+-+Al+Majaz+2+-+Al+Majaz+-+Sharjah+-+United+Arab+Emirates+%2C+Sharjah%2C+United+Arab+Emirates" TargetMode="External"/><Relationship Id="rId53" Type="http://schemas.openxmlformats.org/officeDocument/2006/relationships/hyperlink" Target="https://wa.me/971556713521" TargetMode="External"/><Relationship Id="rId74" Type="http://schemas.openxmlformats.org/officeDocument/2006/relationships/hyperlink" Target="https://www.facebook.com/alhabsharestaurantabudhabi/" TargetMode="External"/><Relationship Id="rId128" Type="http://schemas.openxmlformats.org/officeDocument/2006/relationships/hyperlink" Target="https://1drv.ms/b/c/23a2f24264a6fa24/IQDhiMB-WT1qSYlggmn8MbikAe4P8YHgi3A275R3qHvRFik?e=u6iYxX" TargetMode="External"/><Relationship Id="rId149" Type="http://schemas.openxmlformats.org/officeDocument/2006/relationships/hyperlink" Target="https://www.facebook.com/share/1FzuHTCXBe/?mibextid=wwXIfr" TargetMode="External"/><Relationship Id="rId5" Type="http://schemas.openxmlformats.org/officeDocument/2006/relationships/hyperlink" Target="https://maps.app.goo.gl/LYwtHmCe6jNPU34EA" TargetMode="External"/><Relationship Id="rId95" Type="http://schemas.openxmlformats.org/officeDocument/2006/relationships/hyperlink" Target="https://cdn.corenexis.com/f/fXTZIdfnv4V.jpg" TargetMode="External"/><Relationship Id="rId160" Type="http://schemas.openxmlformats.org/officeDocument/2006/relationships/hyperlink" Target="https://1drv.ms/i/c/23a2f24264a6fa24/IQCw9oSLbiJnTa0ttZYqBVA3AWovpZ7RbTs_3y5UsLnmPoQ?e=VHpbYz" TargetMode="External"/><Relationship Id="rId181" Type="http://schemas.openxmlformats.org/officeDocument/2006/relationships/hyperlink" Target="https://babalhabeshafoods.com/" TargetMode="External"/><Relationship Id="rId216" Type="http://schemas.openxmlformats.org/officeDocument/2006/relationships/hyperlink" Target="https://wa.me/971567765111" TargetMode="External"/><Relationship Id="rId237" Type="http://schemas.openxmlformats.org/officeDocument/2006/relationships/hyperlink" Target="https://www.facebook.com/people/Yegna-Cafe-Rukn-Al-Yash/61571198721201/" TargetMode="External"/><Relationship Id="rId22" Type="http://schemas.openxmlformats.org/officeDocument/2006/relationships/hyperlink" Target="https://hctuae-my.sharepoint.com/:w:/g/personal/h00540235_hct_ac_ae/IQDYH-n2FtNOSptCUA3ROqeAATb4R2kBTXKLzvvJnuNtvOs?e=zoHGk6" TargetMode="External"/><Relationship Id="rId43" Type="http://schemas.openxmlformats.org/officeDocument/2006/relationships/hyperlink" Target="https://wa.me/971556370564" TargetMode="External"/><Relationship Id="rId64" Type="http://schemas.openxmlformats.org/officeDocument/2006/relationships/hyperlink" Target="https://ethiopiandining.com/wp-content/uploads/2025/07/KIDIST-LEYU-KITFO-%E1%89%85%E1%8B%B5%E1%88%B5%E1%89%B5-%E1%88%8D%E1%8B%A9-%E1%8A%AD%E1%89%B5%E1%8D%8E-%E1%89%A4%E1%89%B5-Sharjah-United-Arab-Emirates-959.jpg" TargetMode="External"/><Relationship Id="rId118" Type="http://schemas.openxmlformats.org/officeDocument/2006/relationships/hyperlink" Target="https://www.instagram.com/enat_resturant_dubai?igsh=MTg2c2lyaHJqd3Jweg==" TargetMode="External"/><Relationship Id="rId139" Type="http://schemas.openxmlformats.org/officeDocument/2006/relationships/hyperlink" Target="https://maps.app.goo.gl/dvBzGH9ri9VnjRMy8" TargetMode="External"/><Relationship Id="rId85" Type="http://schemas.openxmlformats.org/officeDocument/2006/relationships/hyperlink" Target="https://www.instagram.com/aldurrah_cafteria?igsh=MWV2M245djk4dGZlMg%3D%3D" TargetMode="External"/><Relationship Id="rId150" Type="http://schemas.openxmlformats.org/officeDocument/2006/relationships/hyperlink" Target="https://wa.me/971502512797" TargetMode="External"/><Relationship Id="rId171" Type="http://schemas.openxmlformats.org/officeDocument/2006/relationships/hyperlink" Target="https://www.tiktok.com/@dukemuae?is_from_webapp=1&amp;sender_device=pc" TargetMode="External"/><Relationship Id="rId192" Type="http://schemas.openxmlformats.org/officeDocument/2006/relationships/hyperlink" Target="https://www.facebook.com/share/1T1LhVFZ5y/?mibextid=wwXIfr" TargetMode="External"/><Relationship Id="rId206" Type="http://schemas.openxmlformats.org/officeDocument/2006/relationships/hyperlink" Target="https://maps.app.goo.gl/tsdc6FptHTS48sPY7" TargetMode="External"/><Relationship Id="rId227" Type="http://schemas.openxmlformats.org/officeDocument/2006/relationships/hyperlink" Target="https://www.facebook.com/bonnaanne/" TargetMode="External"/><Relationship Id="rId12" Type="http://schemas.openxmlformats.org/officeDocument/2006/relationships/hyperlink" Target="https://google.com/maps?vet=10CAAQoqAOahcKEwjw7o6e7YuVAxUAAAAAHQAAAAAQCA..i&amp;pvq=Cg0vZy8xMXprNGo3MHo1IhoKFG1lc2VyZXQgYWwgdGF5ZSBjYWZlEAIYAw&amp;lqi=Ch5tZXNlcmV0IGFsIHRheWUgY2FmZSBhYnUgZGhhYmlIxYeOyMS-gIAIWi4QABABEAIQAxgAGAIYAyIebWVzZXJldCBhbCB0YXllIGNhZmUgYWJ1IGRoYWJpkgEKcmVzdGF1cmFudJoBRENpOURRVWxSUVVOdlpFTm9kSGxqUmpsdlQyeFNiMW93V25GT1ZVcFdVbnBzZUdGVWJFZFRSbEkyV2pCamVsUkhZeEFC-gEECFcQTA&amp;fvr=1&amp;cs=0&amp;um=1&amp;ie=UTF-8&amp;fb=1&amp;gl=ae&amp;sa=X&amp;ftid=0x3e5e671c7a0baa7f:0x938f27e6616d03b5" TargetMode="External"/><Relationship Id="rId33" Type="http://schemas.openxmlformats.org/officeDocument/2006/relationships/hyperlink" Target="https://share.google/nPNSjH88sFjPgFten" TargetMode="External"/><Relationship Id="rId108" Type="http://schemas.openxmlformats.org/officeDocument/2006/relationships/hyperlink" Target="https://b.zmtcdn.com/data/pictures/3/21201633/b6a185af5899e13e4027984f1cb7cbf7.jpg" TargetMode="External"/><Relationship Id="rId129" Type="http://schemas.openxmlformats.org/officeDocument/2006/relationships/hyperlink" Target="https://wa.me/971561287841" TargetMode="External"/><Relationship Id="rId54" Type="http://schemas.openxmlformats.org/officeDocument/2006/relationships/hyperlink" Target="https://www.instagram.com/ermi_cafe?utm_source=ig_web_button_share_sheet&amp;igsh=ZDNlZDc0MzIxNw==" TargetMode="External"/><Relationship Id="rId75" Type="http://schemas.openxmlformats.org/officeDocument/2006/relationships/hyperlink" Target="https://www.facebook.com/Mouthwateringcuisine/" TargetMode="External"/><Relationship Id="rId96" Type="http://schemas.openxmlformats.org/officeDocument/2006/relationships/hyperlink" Target="https://www.facebook.com/p/Addis-abeba-city-restaurant-100057671220428/" TargetMode="External"/><Relationship Id="rId140" Type="http://schemas.openxmlformats.org/officeDocument/2006/relationships/hyperlink" Target="https://wa.me/971542461768" TargetMode="External"/><Relationship Id="rId161" Type="http://schemas.openxmlformats.org/officeDocument/2006/relationships/hyperlink" Target="https://deliveroo.ae/en/menu/abu-dhabi/al-manhal/kitfo-restaurant" TargetMode="External"/><Relationship Id="rId182" Type="http://schemas.openxmlformats.org/officeDocument/2006/relationships/hyperlink" Target="https://www.instagram.com/fasikadxb?utm_source=ig_web_button_share_sheet&amp;igsh=ZDNlZDc0MzIxNw==" TargetMode="External"/><Relationship Id="rId217" Type="http://schemas.openxmlformats.org/officeDocument/2006/relationships/hyperlink" Target="https://www.facebook.com/akkoocoffee/" TargetMode="External"/><Relationship Id="rId6" Type="http://schemas.openxmlformats.org/officeDocument/2006/relationships/hyperlink" Target="https://maps.app.goo.gl/WuoEBcefnCcUSjYt5" TargetMode="External"/><Relationship Id="rId238" Type="http://schemas.openxmlformats.org/officeDocument/2006/relationships/printerSettings" Target="../printerSettings/printerSettings1.bin"/><Relationship Id="rId23" Type="http://schemas.openxmlformats.org/officeDocument/2006/relationships/hyperlink" Target="https://hctuae-my.sharepoint.com/:w:/g/personal/h00540226_hct_ac_ae/IQCrL61sOPZ1T6o6T0VevJmNATrd5bus40v7fGZ50zRaZCI?e=L6eM7S" TargetMode="External"/><Relationship Id="rId119" Type="http://schemas.openxmlformats.org/officeDocument/2006/relationships/hyperlink" Target="https://www.tiktok.com/@shta4000?_r=1" TargetMode="External"/><Relationship Id="rId44" Type="http://schemas.openxmlformats.org/officeDocument/2006/relationships/hyperlink" Target="https://wa.me/971554266511" TargetMode="External"/><Relationship Id="rId65" Type="http://schemas.openxmlformats.org/officeDocument/2006/relationships/hyperlink" Target="https://ethiopiandining.com/wp-content/uploads/2025/07/Addis-Ababa-City-Restaurant-Sharjah-United-Arab-Emirates-539.jpg" TargetMode="External"/><Relationship Id="rId86" Type="http://schemas.openxmlformats.org/officeDocument/2006/relationships/hyperlink" Target="https://cdn.corenexis.com/f/2SD395HlsTw.jpg" TargetMode="External"/><Relationship Id="rId130" Type="http://schemas.openxmlformats.org/officeDocument/2006/relationships/hyperlink" Target="https://wa.me/971544474872" TargetMode="External"/><Relationship Id="rId151" Type="http://schemas.openxmlformats.org/officeDocument/2006/relationships/hyperlink" Target="https://hctuae-my.sharepoint.com/:b:/r/personal/h00540244_hct_ac_ae/Documents/Fike_Kurtena_Kitfo.pdf?csf=1&amp;web=1&amp;e=aaC5O3" TargetMode="External"/><Relationship Id="rId172" Type="http://schemas.openxmlformats.org/officeDocument/2006/relationships/hyperlink" Target="https://www.facebook.com/dukemrestodubai/" TargetMode="External"/><Relationship Id="rId193" Type="http://schemas.openxmlformats.org/officeDocument/2006/relationships/hyperlink" Target="https://wa.me/971506612760" TargetMode="External"/><Relationship Id="rId207" Type="http://schemas.openxmlformats.org/officeDocument/2006/relationships/hyperlink" Target="https://wa.me/97142660323" TargetMode="External"/><Relationship Id="rId228" Type="http://schemas.openxmlformats.org/officeDocument/2006/relationships/hyperlink" Target="https://vt.tiktok.com/ZSCdpnARq" TargetMode="External"/><Relationship Id="rId13" Type="http://schemas.openxmlformats.org/officeDocument/2006/relationships/hyperlink" Target="https://hctuae-my.sharepoint.com/:w:/g/personal/h00540232_hct_ac_ae/IQBkqUmwTDy4S6NXT9YZ5qBMASI_Ic6WsX4Feb1ApPrhA3k?e=WeNm5D" TargetMode="External"/><Relationship Id="rId109" Type="http://schemas.openxmlformats.org/officeDocument/2006/relationships/hyperlink" Target="https://wa.me/c/971501245858" TargetMode="External"/><Relationship Id="rId34" Type="http://schemas.openxmlformats.org/officeDocument/2006/relationships/hyperlink" Target="https://www.google.com/maps?q=Al+Baraqa+2+Building%2COmar+Bin+Al+Khathab+Road%2CAl+Nakhil+-+Ajman+-+United+Arab+Emirates+%2C+Ajman%2C+United+Arab+Emirates" TargetMode="External"/><Relationship Id="rId55" Type="http://schemas.openxmlformats.org/officeDocument/2006/relationships/hyperlink" Target="https://www.myfoodmenu.online/sahil_ethiopey.html" TargetMode="External"/><Relationship Id="rId76" Type="http://schemas.openxmlformats.org/officeDocument/2006/relationships/hyperlink" Target="https://www.tiktok.com/@bab.alhabesha.rest" TargetMode="External"/><Relationship Id="rId97" Type="http://schemas.openxmlformats.org/officeDocument/2006/relationships/hyperlink" Target="https://www.facebook.com/Addisababa2020/" TargetMode="External"/><Relationship Id="rId120" Type="http://schemas.openxmlformats.org/officeDocument/2006/relationships/hyperlink" Target="https://www.tiktok.com/@mechotdubaidiera?_r=1" TargetMode="External"/><Relationship Id="rId141" Type="http://schemas.openxmlformats.org/officeDocument/2006/relationships/hyperlink" Target="https://wa.me/971502813581" TargetMode="External"/><Relationship Id="rId7" Type="http://schemas.openxmlformats.org/officeDocument/2006/relationships/hyperlink" Target="https://maps.app.goo.gl/YxkrLJBUrFuyPQb67" TargetMode="External"/><Relationship Id="rId162" Type="http://schemas.openxmlformats.org/officeDocument/2006/relationships/hyperlink" Target="https://1drv.ms/i/c/23a2f24264a6fa24/IQBqn2aX3O_dTINzrKZAt4u7AeDb04iNwhS8cIP96V9RKV8?e=ugMBxN" TargetMode="External"/><Relationship Id="rId183" Type="http://schemas.openxmlformats.org/officeDocument/2006/relationships/hyperlink" Target="https://maps.app.goo.gl/nz9q7D8CoY2aqBF87" TargetMode="External"/><Relationship Id="rId218" Type="http://schemas.openxmlformats.org/officeDocument/2006/relationships/hyperlink" Target="https://1drv.ms/i/c/b368c78a96c111fc/IQC4jUJr9EqBSo_HpLyBs--RASblfnxBX8RYxFWgk08ofO8?e=B4BRfS" TargetMode="External"/><Relationship Id="rId24" Type="http://schemas.openxmlformats.org/officeDocument/2006/relationships/hyperlink" Target="https://hctuae-my.sharepoint.com/:w:/g/personal/h00540226_hct_ac_ae/IQC491OQNutiQo_RV6KHRJ6OAWEh0PgxmT5fUtfbfzNaS4Y?e=jRbSGM" TargetMode="External"/><Relationship Id="rId45" Type="http://schemas.openxmlformats.org/officeDocument/2006/relationships/hyperlink" Target="https://wa.me/971556887182" TargetMode="External"/><Relationship Id="rId66" Type="http://schemas.openxmlformats.org/officeDocument/2006/relationships/hyperlink" Target="https://ethiopiandining.com/wp-content/uploads/2025/07/Addis-ababa-caff-Res-%E1%8A%A2%E1%89%B5%E1%8B%AC-%E1%88%AC%E1%88%B5%E1%89%B6%E1%88%AB%E1%8A%95%E1%89%B5-Sharjah-United-Arab-Emirates-956.jpg" TargetMode="External"/><Relationship Id="rId87" Type="http://schemas.openxmlformats.org/officeDocument/2006/relationships/hyperlink" Target="https://hctuae-my.sharepoint.com/:w:/g/personal/h00540248_hct_ac_ae/IQB9On_bs2LNSJvgKHDQsU2CAYqY9Wn8jKQklQLfpn8vxts?e=PVBfy8" TargetMode="External"/><Relationship Id="rId110" Type="http://schemas.openxmlformats.org/officeDocument/2006/relationships/hyperlink" Target="https://www.instagram.com/mechotdubai_african_resturant?utm_source=ig_web_button_share_sheet&amp;igsh=ZDNlZDc0MzIxNw==" TargetMode="External"/><Relationship Id="rId131" Type="http://schemas.openxmlformats.org/officeDocument/2006/relationships/hyperlink" Target="https://wa.me/971508642185" TargetMode="External"/><Relationship Id="rId152" Type="http://schemas.openxmlformats.org/officeDocument/2006/relationships/hyperlink" Target="https://www.instagram.com/kiloolerestaurantdubai?utm_source=ig_web_button_share_sheet&amp;igsh=ZDNlZDc0MzIxNw==" TargetMode="External"/><Relationship Id="rId173" Type="http://schemas.openxmlformats.org/officeDocument/2006/relationships/hyperlink" Target="https://wa.me/971589867101" TargetMode="External"/><Relationship Id="rId194" Type="http://schemas.openxmlformats.org/officeDocument/2006/relationships/hyperlink" Target="https://www.alhabasharestaurant.com/" TargetMode="External"/><Relationship Id="rId208" Type="http://schemas.openxmlformats.org/officeDocument/2006/relationships/hyperlink" Target="https://www.instagram.com/bonna_annee_restaurant?utm_source=ig_web_button_share_sheet&amp;igsh=ZDNlZDc0MzIxNw==" TargetMode="External"/><Relationship Id="rId229" Type="http://schemas.openxmlformats.org/officeDocument/2006/relationships/hyperlink" Target="https://1drv.ms/i/c/b368c78a96c111fc/IQC9AQkx1xfMQIPIDtnZFOHSAWpOehgpdAqcwQI6joCIrqw?e=eaxKCz" TargetMode="External"/><Relationship Id="rId14" Type="http://schemas.openxmlformats.org/officeDocument/2006/relationships/hyperlink" Target="https://hctuae-my.sharepoint.com/:w:/g/personal/h00540226_hct_ac_ae/IQClS5ihjh41TYNCtMQ8cay7AedhtnzN16a0vU-maj5kaW4?e=guQBnA" TargetMode="External"/><Relationship Id="rId35" Type="http://schemas.openxmlformats.org/officeDocument/2006/relationships/hyperlink" Target="https://share.google/dZAmMrtOUTdMdc637" TargetMode="External"/><Relationship Id="rId56" Type="http://schemas.openxmlformats.org/officeDocument/2006/relationships/hyperlink" Target="https://www.zomato.com/sharjah/addis-ababa-city-restaurant-al-mahatah/menu" TargetMode="External"/><Relationship Id="rId77" Type="http://schemas.openxmlformats.org/officeDocument/2006/relationships/hyperlink" Target="https://maps.app.goo.gl/yY6BpQzENFRBMyaV9" TargetMode="External"/><Relationship Id="rId100" Type="http://schemas.openxmlformats.org/officeDocument/2006/relationships/hyperlink" Target="https://maps.app.goo.gl/5uwZfLmp7SJTC9FP8" TargetMode="External"/><Relationship Id="rId8" Type="http://schemas.openxmlformats.org/officeDocument/2006/relationships/hyperlink" Target="https://share.google/9kUYQ6jK1nrK0yUfV" TargetMode="External"/><Relationship Id="rId98" Type="http://schemas.openxmlformats.org/officeDocument/2006/relationships/hyperlink" Target="https://www.facebook.com/p/Ethiopia-Cafeteria-61550844431542/" TargetMode="External"/><Relationship Id="rId121" Type="http://schemas.openxmlformats.org/officeDocument/2006/relationships/hyperlink" Target="https://www.facebook.com/mechotrestaurantDubai/" TargetMode="External"/><Relationship Id="rId142" Type="http://schemas.openxmlformats.org/officeDocument/2006/relationships/hyperlink" Target="https://www.instagram.com/dukem_uae?utm_source=ig_web_button_share_sheet&amp;igsh=ZDNlZDc0MzIxNw==" TargetMode="External"/><Relationship Id="rId163" Type="http://schemas.openxmlformats.org/officeDocument/2006/relationships/hyperlink" Target="https://1drv.ms/i/c/23a2f24264a6fa24/IQCznouz7ppzSpvJuBWHOYarAd4DcX5cDjzmr4hNI2Ao3IU?e=PWLXUP" TargetMode="External"/><Relationship Id="rId184" Type="http://schemas.openxmlformats.org/officeDocument/2006/relationships/hyperlink" Target="https://www.instagram.com/bab_alhabesha/" TargetMode="External"/><Relationship Id="rId219" Type="http://schemas.openxmlformats.org/officeDocument/2006/relationships/hyperlink" Target="https://vt.tiktok.com/ZSCd4qH2w" TargetMode="External"/><Relationship Id="rId230" Type="http://schemas.openxmlformats.org/officeDocument/2006/relationships/hyperlink" Target="https://www.facebook.com/MilenRestaurant1/" TargetMode="External"/><Relationship Id="rId25" Type="http://schemas.openxmlformats.org/officeDocument/2006/relationships/hyperlink" Target="https://hctuae-my.sharepoint.com/:w:/g/personal/h00540235_hct_ac_ae/IQDPvthJQTyJSKkxHoTlkuruAQ9ObCHfV6YU0ghx2tgj770?e=kH7Cxk" TargetMode="External"/><Relationship Id="rId46" Type="http://schemas.openxmlformats.org/officeDocument/2006/relationships/hyperlink" Target="https://wa.me/971567766135" TargetMode="External"/><Relationship Id="rId67" Type="http://schemas.openxmlformats.org/officeDocument/2006/relationships/hyperlink" Target="https://lh3.googleusercontent.com/gps-cs-s/APNQkAFWHUfiu3JLNhLBbWeBHOid_S9-FQPbqyVl5tEC78HDfZ2nACTm2HBd0vrT4H-iccp0l6ySqrxDZeJIBKzRIVMYWmGo59G07fG9_DERzXU0D4edioDUGh170V7vwHTJWBx7m2sTJiUHHZf_=s1360-w1360-h1020-rw" TargetMode="External"/><Relationship Id="rId88" Type="http://schemas.openxmlformats.org/officeDocument/2006/relationships/hyperlink" Target="https://www.google.com/maps/place/Canari+cafeteria/@25.1260641,56.3397195,17z/data=!3m1!4b1!4m6!3m5!1s0x3ef4f97f4cfd41f1:0xb1b0279eb891beee!8m2!3d25.1260641!4d56.3397195!16s%2Fg%2F11qg5h8v0g!18m1!1e1?entry=ttu&amp;g_ep=EgoyMDI2MDYxNi4wIKXMDSoASAFQAw%3D%3D" TargetMode="External"/><Relationship Id="rId111" Type="http://schemas.openxmlformats.org/officeDocument/2006/relationships/hyperlink" Target="https://maps.app.goo.gl/hZcTU1u2e13SsNTy9" TargetMode="External"/><Relationship Id="rId132" Type="http://schemas.openxmlformats.org/officeDocument/2006/relationships/hyperlink" Target="https://maps.app.goo.gl/tDocFRAzfXZagV827" TargetMode="External"/><Relationship Id="rId153" Type="http://schemas.openxmlformats.org/officeDocument/2006/relationships/hyperlink" Target="https://www.facebook.com/100063679040605/videos/" TargetMode="External"/><Relationship Id="rId174" Type="http://schemas.openxmlformats.org/officeDocument/2006/relationships/hyperlink" Target="https://www.tiktok.com/@beteseb19?_r=1&amp;_t=ZS-97NP3y2scke" TargetMode="External"/><Relationship Id="rId195" Type="http://schemas.openxmlformats.org/officeDocument/2006/relationships/hyperlink" Target="https://www.alhabasharestaurant.com/order-online/" TargetMode="External"/><Relationship Id="rId209" Type="http://schemas.openxmlformats.org/officeDocument/2006/relationships/hyperlink" Target="https://maps.app.goo.gl/co4d6DhPKhpaZKWa7" TargetMode="External"/><Relationship Id="rId190" Type="http://schemas.openxmlformats.org/officeDocument/2006/relationships/hyperlink" Target="https://www.instagram.com/zagol__restaurant" TargetMode="External"/><Relationship Id="rId204" Type="http://schemas.openxmlformats.org/officeDocument/2006/relationships/hyperlink" Target="https://www.instagram.com/sara.lemma.restaurant/" TargetMode="External"/><Relationship Id="rId220" Type="http://schemas.openxmlformats.org/officeDocument/2006/relationships/hyperlink" Target="https://1drv.ms/b/c/b368c78a96c111fc/IQBbCfFdIjp_R4lFov6WXVS5AaKODnJy3j64vi5qs8OSgVw?e=vURGyn" TargetMode="External"/><Relationship Id="rId225" Type="http://schemas.openxmlformats.org/officeDocument/2006/relationships/hyperlink" Target="https://1drv.ms/i/c/b368c78a96c111fc/IQDd5LAmJxAgQ7t4mJVHNozNAZA8-wLnYQzB2AnJLKo8CXg?e=ZZ9MQe" TargetMode="External"/><Relationship Id="rId15" Type="http://schemas.openxmlformats.org/officeDocument/2006/relationships/hyperlink" Target="https://hctuae-my.sharepoint.com/:w:/g/personal/h00540232_hct_ac_ae/IQD-7nZbhSp4Ro3fQHuSy2K4AW-TFvD6ZN2afVZeWFZNrUM?e=S7KD0X" TargetMode="External"/><Relationship Id="rId36" Type="http://schemas.openxmlformats.org/officeDocument/2006/relationships/hyperlink" Target="https://share.google/qlC8VszRMVG8sicmd" TargetMode="External"/><Relationship Id="rId57" Type="http://schemas.openxmlformats.org/officeDocument/2006/relationships/hyperlink" Target="https://piassa.netlify.app/menu" TargetMode="External"/><Relationship Id="rId106" Type="http://schemas.openxmlformats.org/officeDocument/2006/relationships/hyperlink" Target="https://maps.app.goo.gl/WfdyLBd5JJmcxPps7" TargetMode="External"/><Relationship Id="rId127" Type="http://schemas.openxmlformats.org/officeDocument/2006/relationships/hyperlink" Target="https://piassa.netlify.app/" TargetMode="External"/><Relationship Id="rId10" Type="http://schemas.openxmlformats.org/officeDocument/2006/relationships/hyperlink" Target="https://www.google.com/maps/place/Al+Habasha+Restaurant+Abu+Dhabi+Branch/@24.4606377,54.3838513,17z/data=!3m1!4b1!4m6!3m5!1s0x3e5e6881a390d8a9:0xcdedbf5e317ff3a6!8m2!3d24.4606377!4d54.3864262!16s%2Fg%2F11bbwqrf52?entry=ttu&amp;g_ep=EgoyMDI2MDYxMC4wIKXMDSoASAFQAw%3D%3D" TargetMode="External"/><Relationship Id="rId31" Type="http://schemas.openxmlformats.org/officeDocument/2006/relationships/hyperlink" Target="https://maps.app.goo.gl/s7G649ewcPki39Bp6" TargetMode="External"/><Relationship Id="rId52" Type="http://schemas.openxmlformats.org/officeDocument/2006/relationships/hyperlink" Target="https://wa.me/971503573661" TargetMode="External"/><Relationship Id="rId73" Type="http://schemas.openxmlformats.org/officeDocument/2006/relationships/hyperlink" Target="https://www.tiktok.com/@kitforestaurant?_r=1&amp;_t=ZS-97EMibdAbb6" TargetMode="External"/><Relationship Id="rId78" Type="http://schemas.openxmlformats.org/officeDocument/2006/relationships/hyperlink" Target="https://www.facebook.com/share/1J4RH5T3CM/" TargetMode="External"/><Relationship Id="rId94" Type="http://schemas.openxmlformats.org/officeDocument/2006/relationships/hyperlink" Target="https://cdn.corenexis.com/f/g9rdzAYFGkJ.jpg" TargetMode="External"/><Relationship Id="rId99" Type="http://schemas.openxmlformats.org/officeDocument/2006/relationships/hyperlink" Target="https://www.tiktok.com/@etiohpiacafeteria" TargetMode="External"/><Relationship Id="rId101" Type="http://schemas.openxmlformats.org/officeDocument/2006/relationships/hyperlink" Target="https://hctuae-my.sharepoint.com/:w:/g/personal/h00540227_hct_ac_ae/IQD0Obc6hxGDQLhFuUJ3Iv3MAdqH0d8d7tQqAT0aSFMw9hI?e=NbctWZ" TargetMode="External"/><Relationship Id="rId122" Type="http://schemas.openxmlformats.org/officeDocument/2006/relationships/hyperlink" Target="https://www.facebook.com/people/Enat-Ethiopian-Restaurant/100063938449240/" TargetMode="External"/><Relationship Id="rId143" Type="http://schemas.openxmlformats.org/officeDocument/2006/relationships/hyperlink" Target="https://www.tiktok.com/@jimarestaurent?_r=1" TargetMode="External"/><Relationship Id="rId148" Type="http://schemas.openxmlformats.org/officeDocument/2006/relationships/hyperlink" Target="https://maps.app.goo.gl/kJRmGBDp3cWjxDSQA" TargetMode="External"/><Relationship Id="rId164" Type="http://schemas.openxmlformats.org/officeDocument/2006/relationships/hyperlink" Target="https://www.facebook.com/share/18wHVYpLk4/?mibextid=wwXIfr" TargetMode="External"/><Relationship Id="rId169" Type="http://schemas.openxmlformats.org/officeDocument/2006/relationships/hyperlink" Target="https://maps.app.goo.gl/Bvyx6K86TjbUGteFA" TargetMode="External"/><Relationship Id="rId185" Type="http://schemas.openxmlformats.org/officeDocument/2006/relationships/hyperlink" Target="https://www.tiktok.com/@fasika_restaurant1?is_from_webapp=1&amp;sender_device=pc" TargetMode="External"/><Relationship Id="rId4" Type="http://schemas.openxmlformats.org/officeDocument/2006/relationships/hyperlink" Target="https://maps.app.goo.gl/1vimms5M1FPT6UYu8" TargetMode="External"/><Relationship Id="rId9" Type="http://schemas.openxmlformats.org/officeDocument/2006/relationships/hyperlink" Target="https://2gis.ae/dubai/firm/70000001044661327/54.383124%2C24.461959?m=54.383131%2C24.461965%2F18" TargetMode="External"/><Relationship Id="rId180" Type="http://schemas.openxmlformats.org/officeDocument/2006/relationships/hyperlink" Target="https://maps.app.goo.gl/zQrMSdU8rCsi4JP29" TargetMode="External"/><Relationship Id="rId210" Type="http://schemas.openxmlformats.org/officeDocument/2006/relationships/hyperlink" Target="https://wa.me/97142208477" TargetMode="External"/><Relationship Id="rId215" Type="http://schemas.openxmlformats.org/officeDocument/2006/relationships/hyperlink" Target="https://maps.app.goo.gl/UUAVrnSFFZiob93i9" TargetMode="External"/><Relationship Id="rId236" Type="http://schemas.openxmlformats.org/officeDocument/2006/relationships/hyperlink" Target="https://web.facebook.com/people/Injera-garden/100069469989276/" TargetMode="External"/><Relationship Id="rId26" Type="http://schemas.openxmlformats.org/officeDocument/2006/relationships/hyperlink" Target="https://maps.app.goo.gl/Fyw8NZ9xAtgyVkFZ9" TargetMode="External"/><Relationship Id="rId231" Type="http://schemas.openxmlformats.org/officeDocument/2006/relationships/hyperlink" Target="https://www.tiktok.com/discover/milen-restaurant" TargetMode="External"/><Relationship Id="rId47" Type="http://schemas.openxmlformats.org/officeDocument/2006/relationships/hyperlink" Target="https://wa.me/971545694593" TargetMode="External"/><Relationship Id="rId68" Type="http://schemas.openxmlformats.org/officeDocument/2006/relationships/hyperlink" Target="https://lh3.googleusercontent.com/gps-cs-s/APNQkAGQmTwK8S8h0D2gWkkCUeAu5ug0karDUyZiEYtayKiS_1AdCdvuMXEdZrziaOiIWcjS1W4eQ_nHRXTAnhu0B9KOsrZnbgXwbuxjzpGipxVCRo_uYODPzwkt8BQ-GkViGI_MR1Z71kzCpjx5=w289-h312-n-k-no" TargetMode="External"/><Relationship Id="rId89" Type="http://schemas.openxmlformats.org/officeDocument/2006/relationships/hyperlink" Target="https://wa.me/971547760002" TargetMode="External"/><Relationship Id="rId112" Type="http://schemas.openxmlformats.org/officeDocument/2006/relationships/hyperlink" Target="https://www.google.com/maps/place/Enat+restaurant/@25.2700123,55.3037159,17z/data=!3m1!4b1!4m6!3m5!1s0x3e5f434ff97b8cb7:0x79dabd6bdac913bb!8m2!3d25.2700123!4d55.3037159!16s%2Fg%2F11yq2y1xf_?hl=en-AE&amp;entry=ttu&amp;g_ep=EgoyMDI2MDYxMC4wIKXMDSoASAFQAw%3D%3D" TargetMode="External"/><Relationship Id="rId133" Type="http://schemas.openxmlformats.org/officeDocument/2006/relationships/hyperlink" Target="https://wa.me/971555590322" TargetMode="External"/><Relationship Id="rId154" Type="http://schemas.openxmlformats.org/officeDocument/2006/relationships/hyperlink" Target="https://www.tiktok.com/@kiloole_restaurant?is_from_webapp=1&amp;sender_device=pc" TargetMode="External"/><Relationship Id="rId175" Type="http://schemas.openxmlformats.org/officeDocument/2006/relationships/hyperlink" Target="https://www.facebook.com/share/193Ej15fne/?mibextid=wwXIfr" TargetMode="External"/><Relationship Id="rId196" Type="http://schemas.openxmlformats.org/officeDocument/2006/relationships/hyperlink" Target="https://www.talabat.com/uae/restaurant/651564/gebeta-restaurant-tourist-club-area-al-zahiya?aid=6485" TargetMode="External"/><Relationship Id="rId200" Type="http://schemas.openxmlformats.org/officeDocument/2006/relationships/hyperlink" Target="https://www.alhabasharestaurant.com/" TargetMode="External"/><Relationship Id="rId16" Type="http://schemas.openxmlformats.org/officeDocument/2006/relationships/hyperlink" Target="https://hctuae-my.sharepoint.com/:w:/g/personal/h00540235_hct_ac_ae/IQDm-RfwS7j_Ta2TF8WyCZaOAQHMDJUOL0fjXX1fx2Niy6Q?e=nY3lgl" TargetMode="External"/><Relationship Id="rId221" Type="http://schemas.openxmlformats.org/officeDocument/2006/relationships/hyperlink" Target="https://lovegrassrestaurant.com/lander?oref=https%3A%2F%2Fwww.google.com%2F" TargetMode="External"/><Relationship Id="rId37" Type="http://schemas.openxmlformats.org/officeDocument/2006/relationships/hyperlink" Target="https://share.google/bfN3dOyYHobjXjmR0" TargetMode="External"/><Relationship Id="rId58" Type="http://schemas.openxmlformats.org/officeDocument/2006/relationships/hyperlink" Target="https://ermicafe.yegna.menu/" TargetMode="External"/><Relationship Id="rId79" Type="http://schemas.openxmlformats.org/officeDocument/2006/relationships/hyperlink" Target="https://www.google.com/maps?q=Addis+Ababa+Restaurant+%7C+%E1%8A%A0%E1%8B%B2%E1%88%B5+%E1%8A%A0%E1%89%A0%E1%89%A3+%E1%88%9D%E1%8C%8D%E1%89%A5+%E1%89%A4%E1%89%B5+-+%D8%B4%D8%A7%D8%B1%D8%B9+(%D8%A7%D9%84%D9%81%D8%B5%D9%8A%D9%84+-+Al+Nakheel+St+-+Fujairah&amp;ftid=0x3ef4f87922a50863:0x64a08abb1d637a76&amp;entry=gps&amp;shh=CAE&amp;lucs=,94297699,100795621,94231188,94280568,47071704,94218641,94282134,100813469,94286869,100813014&amp;g_ep=CAISEjI2LjIzLjUuOTI0MzY0MTg2MBgAIMi8BypdLDk0Mjk3Njk5LDEwMDc5NTYyMSw5NDIzMTE4OCw5NDI4MDU2OCw0NzA3MTcwNCw5NDIxODY0MSw5NDI4MjEzNCwxMDA4MTM0NjksOTQyODY4NjksMTAwODEzMDE0QgJBRQ%3D%3D&amp;skid=7870519b-8313-42c1-8677-840f5a1059a7&amp;g_st=ic" TargetMode="External"/><Relationship Id="rId102" Type="http://schemas.openxmlformats.org/officeDocument/2006/relationships/hyperlink" Target="https://wa.me/971507547039" TargetMode="External"/><Relationship Id="rId123" Type="http://schemas.openxmlformats.org/officeDocument/2006/relationships/hyperlink" Target="https://maps.app.goo.gl/wm6ocw3EYrTw2rRYA" TargetMode="External"/><Relationship Id="rId144" Type="http://schemas.openxmlformats.org/officeDocument/2006/relationships/hyperlink" Target="https://wa.me/971509059833" TargetMode="External"/><Relationship Id="rId90" Type="http://schemas.openxmlformats.org/officeDocument/2006/relationships/hyperlink" Target="https://cdn.corenexis.com/f/vz1nKbdMkkR.jpg" TargetMode="External"/><Relationship Id="rId165" Type="http://schemas.openxmlformats.org/officeDocument/2006/relationships/hyperlink" Target="https://1drv.ms/i/c/23a2f24264a6fa24/IQBnnheWxBBwT7bGCmkHNi-jASLw0Cts7Af_BzqNPSF1XWA?e=FjhTOw" TargetMode="External"/><Relationship Id="rId186" Type="http://schemas.openxmlformats.org/officeDocument/2006/relationships/hyperlink" Target="https://www.facebook.com/p/Bab-Al-Habesha-Restaurant-61568519721850/" TargetMode="External"/><Relationship Id="rId211" Type="http://schemas.openxmlformats.org/officeDocument/2006/relationships/hyperlink" Target="https://www.instagram.com/milenrestaurant?utm_source=ig_web_button_share_sheet&amp;igsh=ZDNlZDc0MzIxNw==" TargetMode="External"/><Relationship Id="rId232" Type="http://schemas.openxmlformats.org/officeDocument/2006/relationships/hyperlink" Target="https://www.tiktok.com/@lovegrass_restaurant" TargetMode="External"/><Relationship Id="rId27" Type="http://schemas.openxmlformats.org/officeDocument/2006/relationships/hyperlink" Target="https://maps.app.goo.gl/cfNzCfwjos1AtS9x9" TargetMode="External"/><Relationship Id="rId48" Type="http://schemas.openxmlformats.org/officeDocument/2006/relationships/hyperlink" Target="https://wa.me/971558508702" TargetMode="External"/><Relationship Id="rId69" Type="http://schemas.openxmlformats.org/officeDocument/2006/relationships/hyperlink" Target="https://kitforestaurant.com/" TargetMode="External"/><Relationship Id="rId113" Type="http://schemas.openxmlformats.org/officeDocument/2006/relationships/hyperlink" Target="https://wa.me/971581740645" TargetMode="External"/><Relationship Id="rId134" Type="http://schemas.openxmlformats.org/officeDocument/2006/relationships/hyperlink" Target="https://maps.app.goo.gl/odyJQQoCMZNfCosaA" TargetMode="External"/><Relationship Id="rId80" Type="http://schemas.openxmlformats.org/officeDocument/2006/relationships/hyperlink" Target="https://wa.me/971581890760" TargetMode="External"/><Relationship Id="rId155" Type="http://schemas.openxmlformats.org/officeDocument/2006/relationships/hyperlink" Target="https://wa.me/971567754012" TargetMode="External"/><Relationship Id="rId176" Type="http://schemas.openxmlformats.org/officeDocument/2006/relationships/hyperlink" Target="http://dukemrestaurant.ae/" TargetMode="External"/><Relationship Id="rId197" Type="http://schemas.openxmlformats.org/officeDocument/2006/relationships/hyperlink" Target="https://maps.app.goo.gl/Nxc8m9ryqmE4AVxZ7" TargetMode="External"/><Relationship Id="rId201" Type="http://schemas.openxmlformats.org/officeDocument/2006/relationships/hyperlink" Target="https://www.alhabasharestaurant.com/food-menu/" TargetMode="External"/><Relationship Id="rId222" Type="http://schemas.openxmlformats.org/officeDocument/2006/relationships/hyperlink" Target="https://1drv.ms/i/c/b368c78a96c111fc/IQAn8xrGlTUhQ5AVJf-bx6_EAWmkzdmqnJ75rVU77qVhOvo?e=WrL2G3" TargetMode="External"/><Relationship Id="rId17" Type="http://schemas.openxmlformats.org/officeDocument/2006/relationships/hyperlink" Target="https://hctuae-my.sharepoint.com/:w:/g/personal/h00540232_hct_ac_ae/IQBC8Fad2cbBTaJxq_yWxYfcAXu75zVf51YVfQGNRppiOXk?e=Ikkb0g" TargetMode="External"/><Relationship Id="rId38" Type="http://schemas.openxmlformats.org/officeDocument/2006/relationships/hyperlink" Target="https://share.google/lU4rMIcsCTrLHLfSD" TargetMode="External"/><Relationship Id="rId59" Type="http://schemas.openxmlformats.org/officeDocument/2006/relationships/hyperlink" Target="https://food.noon.com/uae-en/outlet/GDRSTRXXOL/" TargetMode="External"/><Relationship Id="rId103" Type="http://schemas.openxmlformats.org/officeDocument/2006/relationships/hyperlink" Target="https://www.tiktok.com/@ermicafe" TargetMode="External"/><Relationship Id="rId124" Type="http://schemas.openxmlformats.org/officeDocument/2006/relationships/hyperlink" Target="https://wa.me/971586547170" TargetMode="External"/><Relationship Id="rId70" Type="http://schemas.openxmlformats.org/officeDocument/2006/relationships/hyperlink" Target="https://www.instagram.com/bonna_annee_restaurant?igsh=dnZ1ZmczaTBhN3k1" TargetMode="External"/><Relationship Id="rId91" Type="http://schemas.openxmlformats.org/officeDocument/2006/relationships/hyperlink" Target="https://hctuae-my.sharepoint.com/:w:/g/personal/h00540248_hct_ac_ae/IQDyM02fsjoDTbPSY0DfUtwfAR_-dhjt81V7GPqvDJS22WY?e=MIakze" TargetMode="External"/><Relationship Id="rId145" Type="http://schemas.openxmlformats.org/officeDocument/2006/relationships/hyperlink" Target="https://www.tiktok.com/@dukemuae?is_from_webapp=1&amp;sender_device=pc" TargetMode="External"/><Relationship Id="rId166" Type="http://schemas.openxmlformats.org/officeDocument/2006/relationships/hyperlink" Target="https://food.noon.com/outlet/KTFRST8TTI-Kitfo/" TargetMode="External"/><Relationship Id="rId187" Type="http://schemas.openxmlformats.org/officeDocument/2006/relationships/hyperlink" Target="https://www.talabat.com/uae/al-ajwa-restaurant-ghnyamah" TargetMode="External"/><Relationship Id="rId1" Type="http://schemas.openxmlformats.org/officeDocument/2006/relationships/hyperlink" Target="https://share.google/kJXe8L7ToFUQfVoOt" TargetMode="External"/><Relationship Id="rId212" Type="http://schemas.openxmlformats.org/officeDocument/2006/relationships/hyperlink" Target="https://maps.app.goo.gl/yLSnkjwJN55eG1WY7" TargetMode="External"/><Relationship Id="rId233" Type="http://schemas.openxmlformats.org/officeDocument/2006/relationships/hyperlink" Target="https://www.facebook.com/groups/476831276841370/_join_/" TargetMode="External"/><Relationship Id="rId28" Type="http://schemas.openxmlformats.org/officeDocument/2006/relationships/hyperlink" Target="https://maps.app.goo.gl/6SgeWEJhnSLqJP1i6" TargetMode="External"/><Relationship Id="rId49" Type="http://schemas.openxmlformats.org/officeDocument/2006/relationships/hyperlink" Target="https://wa.me/971504359291" TargetMode="External"/><Relationship Id="rId114" Type="http://schemas.openxmlformats.org/officeDocument/2006/relationships/hyperlink" Target="https://maps.app.goo.gl/KJRD2EkKRxZS1pfk7" TargetMode="External"/><Relationship Id="rId60" Type="http://schemas.openxmlformats.org/officeDocument/2006/relationships/hyperlink" Target="https://www.tiktok.com/@kidestkitfo?is_from_webapp=1&amp;sender_device=pc" TargetMode="External"/><Relationship Id="rId81" Type="http://schemas.openxmlformats.org/officeDocument/2006/relationships/hyperlink" Target="https://cdn.corenexis.com/f/m3BKCCRQ77m.jpg" TargetMode="External"/><Relationship Id="rId135" Type="http://schemas.openxmlformats.org/officeDocument/2006/relationships/hyperlink" Target="https://www.tiktok.com/@ethiopiangreenrestaurant?_r=1" TargetMode="External"/><Relationship Id="rId156" Type="http://schemas.openxmlformats.org/officeDocument/2006/relationships/hyperlink" Target="https://www.talabat.com/uae/sheger-restaurant" TargetMode="External"/><Relationship Id="rId177" Type="http://schemas.openxmlformats.org/officeDocument/2006/relationships/hyperlink" Target="https://www.tiktok.com/@mechotdubaidiera?is_from_webapp=1&amp;sender_device=pc" TargetMode="External"/><Relationship Id="rId198" Type="http://schemas.openxmlformats.org/officeDocument/2006/relationships/hyperlink" Target="https://wa.me/971509761624" TargetMode="External"/><Relationship Id="rId202" Type="http://schemas.openxmlformats.org/officeDocument/2006/relationships/hyperlink" Target="https://maps.app.goo.gl/jhTVcfF3hjpUmz6N9" TargetMode="External"/><Relationship Id="rId223" Type="http://schemas.openxmlformats.org/officeDocument/2006/relationships/hyperlink" Target="https://1drv.ms/b/c/b368c78a96c111fc/IQC71vCvYPWdSqPajzfoN83WAbuEJgRRm6hUJNuNecgZv50?e=5cHyfm" TargetMode="External"/><Relationship Id="rId18" Type="http://schemas.openxmlformats.org/officeDocument/2006/relationships/hyperlink" Target="https://hctuae-my.sharepoint.com/:w:/g/personal/h00540232_hct_ac_ae/IQCmTwa1qxdCRb9xKbX_C773AUdXN_hwXJ8_R5Djz_RCuCU?e=oCyXFX" TargetMode="External"/><Relationship Id="rId39" Type="http://schemas.openxmlformats.org/officeDocument/2006/relationships/hyperlink" Target="https://maps.app.goo.gl/D2roAPpWvmiHxrjc7" TargetMode="External"/><Relationship Id="rId50" Type="http://schemas.openxmlformats.org/officeDocument/2006/relationships/hyperlink" Target="https://wa.me/971547505690" TargetMode="External"/><Relationship Id="rId104" Type="http://schemas.openxmlformats.org/officeDocument/2006/relationships/hyperlink" Target="https://www.facebook.com/ermias.solomon.9/" TargetMode="External"/><Relationship Id="rId125" Type="http://schemas.openxmlformats.org/officeDocument/2006/relationships/hyperlink" Target="https://piassa.netlify.app/menu" TargetMode="External"/><Relationship Id="rId146" Type="http://schemas.openxmlformats.org/officeDocument/2006/relationships/hyperlink" Target="https://www.facebook.com/dukemrestodubai/" TargetMode="External"/><Relationship Id="rId167" Type="http://schemas.openxmlformats.org/officeDocument/2006/relationships/hyperlink" Target="https://docs.google.com/document/d/1_iPo08q7ybqx8KitxuGW7mnuPikQmAGP/edit?usp=sharing&amp;ouid=117738730766059861489&amp;rtpof=true&amp;sd=true" TargetMode="External"/><Relationship Id="rId188" Type="http://schemas.openxmlformats.org/officeDocument/2006/relationships/hyperlink" Target="https://docs.google.com/document/d/1tUrom48XmFSC5hzbhHmHKa_onJGx9wNQ/edit?usp=sharing&amp;ouid=117738730766059861489&amp;rtpof=true&amp;sd=true" TargetMode="External"/><Relationship Id="rId71" Type="http://schemas.openxmlformats.org/officeDocument/2006/relationships/hyperlink" Target="https://www.facebook.com/share/1V8JtemN6L/?mibextid=wwXIfr" TargetMode="External"/><Relationship Id="rId92" Type="http://schemas.openxmlformats.org/officeDocument/2006/relationships/hyperlink" Target="https://www.google.com/maps/place/ABU+AYMEN+RESTAURANT+%E1%8A%A0%E1%89%A1%E1%8A%A0%E1%8B%AD%E1%88%98%E1%8A%95+%E1%88%9D%E1%8C%8D%E1%89%A5+%E1%89%A4%E1%89%B5/@25.2800713,56.3583612,17z/data=!3m1!4b1!4m6!3m5!1s0x3ef451c2e02916b5:0xdfbfb79d69d52a09!8m2!3d25.2800713!4d56.3609361!16s%2Fg%2F11l2v4zp_j!18m1!1e1?entry=tts&amp;g_ep=EgoyMDI2MDYxMC4wIPu8ASoASAFQAw%3D%3D&amp;skid=fd21a15f-7698-4cfe-bd4d-b5ebf3b133d5" TargetMode="External"/><Relationship Id="rId213" Type="http://schemas.openxmlformats.org/officeDocument/2006/relationships/hyperlink" Target="https://wa.me/971547910445" TargetMode="External"/><Relationship Id="rId234" Type="http://schemas.openxmlformats.org/officeDocument/2006/relationships/hyperlink" Target="https://1drv.ms/i/c/b368c78a96c111fc/IQD_LBs3O6qsRIK5OXMM4OWJAcUOA5B17AAy2pHIsi8ltpg?e=vusdrI" TargetMode="External"/><Relationship Id="rId2" Type="http://schemas.openxmlformats.org/officeDocument/2006/relationships/hyperlink" Target="https://maps.app.goo.gl/cYStJGwyL9uActcy9" TargetMode="External"/><Relationship Id="rId29" Type="http://schemas.openxmlformats.org/officeDocument/2006/relationships/hyperlink" Target="https://maps.app.goo.gl/GFCDxyRha2HR3r5q6" TargetMode="External"/><Relationship Id="rId40" Type="http://schemas.openxmlformats.org/officeDocument/2006/relationships/hyperlink" Target="https://wa.me/971526631407" TargetMode="External"/><Relationship Id="rId115" Type="http://schemas.openxmlformats.org/officeDocument/2006/relationships/hyperlink" Target="https://wa.me/971501245858" TargetMode="External"/><Relationship Id="rId136" Type="http://schemas.openxmlformats.org/officeDocument/2006/relationships/hyperlink" Target="https://www.facebook.com/share/1DsW8PAawJ/?mibextid=wwXIfr" TargetMode="External"/><Relationship Id="rId157" Type="http://schemas.openxmlformats.org/officeDocument/2006/relationships/hyperlink" Target="https://www.talabat.com/uae/fayida-ethiopian-cuisine" TargetMode="External"/><Relationship Id="rId178" Type="http://schemas.openxmlformats.org/officeDocument/2006/relationships/hyperlink" Target="https://www.facebook.com/p/Mechotdubai-diera-100065389214565/" TargetMode="External"/><Relationship Id="rId61" Type="http://schemas.openxmlformats.org/officeDocument/2006/relationships/hyperlink" Target="https://www.tiktok.com/@addisabebaresturant55?is_from_webapp=1&amp;sender_device=pc" TargetMode="External"/><Relationship Id="rId82" Type="http://schemas.openxmlformats.org/officeDocument/2006/relationships/hyperlink" Target="https://cdn.corenexis.com/f/Di3qcSwPOnt.jpg" TargetMode="External"/><Relationship Id="rId199" Type="http://schemas.openxmlformats.org/officeDocument/2006/relationships/hyperlink" Target="https://drive.google.com/drive/folders/1SZUEONCwBA_-S7-dPqbtMHESAigy-RBx?usp=sharing" TargetMode="External"/><Relationship Id="rId203" Type="http://schemas.openxmlformats.org/officeDocument/2006/relationships/hyperlink" Target="https://wa.me/971562807696" TargetMode="External"/><Relationship Id="rId19" Type="http://schemas.openxmlformats.org/officeDocument/2006/relationships/hyperlink" Target="https://hctuae-my.sharepoint.com/:w:/g/personal/h00540226_hct_ac_ae/IQC9dIRCC4--TKQ5MFHGBX1yAY257noea-JG0X3AUUaGxu8?e=ICRgRk" TargetMode="External"/><Relationship Id="rId224" Type="http://schemas.openxmlformats.org/officeDocument/2006/relationships/hyperlink" Target="https://www.facebook.com/61574592148052/?locale=ga_IE" TargetMode="External"/><Relationship Id="rId30" Type="http://schemas.openxmlformats.org/officeDocument/2006/relationships/hyperlink" Target="https://maps.app.goo.gl/tHMnwqaqAJMkxGWC8" TargetMode="External"/><Relationship Id="rId105" Type="http://schemas.openxmlformats.org/officeDocument/2006/relationships/hyperlink" Target="https://maps.app.goo.gl/TU9Sj1PdtaRuVKqE8" TargetMode="External"/><Relationship Id="rId126" Type="http://schemas.openxmlformats.org/officeDocument/2006/relationships/hyperlink" Target="https://www.tiktok.com/@piassarestaurant?_r=1" TargetMode="External"/><Relationship Id="rId147" Type="http://schemas.openxmlformats.org/officeDocument/2006/relationships/hyperlink" Target="https://1drv.ms/b/c/23a2f24264a6fa24/IQD8OBTN7q9UQIznS9g0jxrsAZ518gDqnH4uxKxiwkeFO0U?e=VYq05U" TargetMode="External"/><Relationship Id="rId168" Type="http://schemas.openxmlformats.org/officeDocument/2006/relationships/hyperlink" Target="https://drive.google.com/file/d/1XTRPabkqVvug-oKWg1dVnbQJEjIHoC-T/view?usp=sharing" TargetMode="External"/><Relationship Id="rId51" Type="http://schemas.openxmlformats.org/officeDocument/2006/relationships/hyperlink" Target="https://wa.me/971545545886" TargetMode="External"/><Relationship Id="rId72" Type="http://schemas.openxmlformats.org/officeDocument/2006/relationships/hyperlink" Target="https://www.facebook.com/share/1C8W1iC97r/" TargetMode="External"/><Relationship Id="rId93" Type="http://schemas.openxmlformats.org/officeDocument/2006/relationships/hyperlink" Target="https://wa.me/971555876013" TargetMode="External"/><Relationship Id="rId189" Type="http://schemas.openxmlformats.org/officeDocument/2006/relationships/hyperlink" Target="https://deliveroo.ae/en/menu/Abu%20Dhabi/al-khubeirah/al-ajwa-restaurant-abu-dhabi" TargetMode="External"/><Relationship Id="rId3" Type="http://schemas.openxmlformats.org/officeDocument/2006/relationships/hyperlink" Target="https://maps.app.goo.gl/CP3PyWcFCQDhQTqU8" TargetMode="External"/><Relationship Id="rId214" Type="http://schemas.openxmlformats.org/officeDocument/2006/relationships/hyperlink" Target="https://www.instagram.com/lovegrassrestaurant?utm_source=ig_web_button_share_sheet&amp;igsh=ZDNlZDc0MzIxNw==" TargetMode="External"/><Relationship Id="rId235" Type="http://schemas.openxmlformats.org/officeDocument/2006/relationships/hyperlink" Target="https://www.instagram.com/akkoo_coffee/" TargetMode="External"/><Relationship Id="rId116" Type="http://schemas.openxmlformats.org/officeDocument/2006/relationships/hyperlink" Target="https://wa.me/c/971501245858" TargetMode="External"/><Relationship Id="rId137" Type="http://schemas.openxmlformats.org/officeDocument/2006/relationships/hyperlink" Target="https://drive.google.com/file/d/1XTRPabkqVvug-oKWg1dVnbQJEjIHoC-T/view?usp=sharing" TargetMode="External"/><Relationship Id="rId158" Type="http://schemas.openxmlformats.org/officeDocument/2006/relationships/hyperlink" Target="https://www.fayidaethiopianrestaurant.com/online-ordering" TargetMode="External"/><Relationship Id="rId20" Type="http://schemas.openxmlformats.org/officeDocument/2006/relationships/hyperlink" Target="https://hctuae-my.sharepoint.com/:w:/g/personal/h00540235_hct_ac_ae/IQD30MEvCoKlRKYpQQZI_BvmAaeWwS8T9Q98lnD5GLAhbk0?e=LYGdh2" TargetMode="External"/><Relationship Id="rId41" Type="http://schemas.openxmlformats.org/officeDocument/2006/relationships/hyperlink" Target="https://wa.me/971551258863" TargetMode="External"/><Relationship Id="rId62" Type="http://schemas.openxmlformats.org/officeDocument/2006/relationships/hyperlink" Target="https://www.tiktok.com/@rahmarestaurant1" TargetMode="External"/><Relationship Id="rId83" Type="http://schemas.openxmlformats.org/officeDocument/2006/relationships/hyperlink" Target="https://www.google.com/maps/place/Al+durrah+cafteria/@25.1257396,56.3377639,17z/data=!3m1!4b1!4m6!3m5!1s0x3ef4f9d616bb599d:0x1b040215648e5e20!8m2!3d25.1257396!4d56.3377639!16s%2Fg%2F11khcn807b!18m1!1e1?entry=ttu&amp;g_ep=EgoyMDI2MDYxMC4wIKXMDSoASAFQAw%3D%3D" TargetMode="External"/><Relationship Id="rId179" Type="http://schemas.openxmlformats.org/officeDocument/2006/relationships/hyperlink" Target="https://maps.app.goo.gl/hQ1xfpDDxdQiwTsY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9D18F-74C0-457F-9881-3A22B0A823FB}">
  <dimension ref="A1:V62"/>
  <sheetViews>
    <sheetView tabSelected="1" zoomScale="85" zoomScaleNormal="85" workbookViewId="0">
      <pane ySplit="1" topLeftCell="A2" activePane="bottomLeft" state="frozen"/>
      <selection pane="bottomLeft" activeCell="C42" sqref="C42"/>
    </sheetView>
  </sheetViews>
  <sheetFormatPr defaultColWidth="30.7109375" defaultRowHeight="15"/>
  <cols>
    <col min="1" max="1" width="38.42578125" customWidth="1"/>
    <col min="2" max="2" width="30.7109375" bestFit="1" customWidth="1"/>
    <col min="3" max="3" width="39.42578125" customWidth="1"/>
    <col min="4" max="4" width="42.85546875" style="10" customWidth="1"/>
    <col min="5" max="5" width="30.28515625" style="20" customWidth="1"/>
    <col min="6" max="7" width="36.5703125" bestFit="1" customWidth="1"/>
    <col min="8" max="8" width="56.140625" customWidth="1"/>
    <col min="11" max="11" width="51.28515625" customWidth="1"/>
    <col min="13" max="13" width="30.7109375" bestFit="1" customWidth="1"/>
  </cols>
  <sheetData>
    <row r="1" spans="1:22" s="8" customFormat="1">
      <c r="A1" s="15" t="s">
        <v>0</v>
      </c>
      <c r="B1" s="15" t="s">
        <v>1</v>
      </c>
      <c r="C1" s="15" t="s">
        <v>253</v>
      </c>
      <c r="D1" s="16" t="s">
        <v>2</v>
      </c>
      <c r="E1" s="17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</row>
    <row r="2" spans="1:22">
      <c r="A2" t="s">
        <v>21</v>
      </c>
      <c r="B2" t="s">
        <v>22</v>
      </c>
      <c r="C2" t="s">
        <v>254</v>
      </c>
      <c r="D2" s="9" t="s">
        <v>23</v>
      </c>
      <c r="E2" s="18">
        <v>971558546493</v>
      </c>
      <c r="F2" s="13" t="str">
        <f t="shared" ref="F2:F10" si="0">HYPERLINK("https://wa.me/"&amp;SUBSTITUTE(SUBSTITUTE(E2,"+","")," ",""))</f>
        <v>https://wa.me/971558546493</v>
      </c>
      <c r="G2" s="3"/>
      <c r="H2" s="1" t="str">
        <f>HYPERLINK("https://www.instagram.com/bonna_annee_restaurant?igsh=dnZ1ZmczaTBhN3k1", "Instagram")</f>
        <v>Instagram</v>
      </c>
      <c r="J2" s="1" t="str">
        <f>HYPERLINK("https://www.facebook.com/share/1J4RH5T3CM/","Facebook")</f>
        <v>Facebook</v>
      </c>
      <c r="K2" s="3" t="s">
        <v>24</v>
      </c>
      <c r="L2" t="s">
        <v>25</v>
      </c>
      <c r="M2" s="2" t="s">
        <v>26</v>
      </c>
      <c r="N2" s="2" t="s">
        <v>26</v>
      </c>
      <c r="O2" s="2"/>
      <c r="P2" s="2"/>
      <c r="R2" s="2" t="b">
        <v>1</v>
      </c>
      <c r="U2" s="7" t="s">
        <v>27</v>
      </c>
    </row>
    <row r="3" spans="1:22">
      <c r="A3" t="s">
        <v>28</v>
      </c>
      <c r="B3" t="s">
        <v>22</v>
      </c>
      <c r="C3" t="s">
        <v>255</v>
      </c>
      <c r="D3" s="9" t="s">
        <v>23</v>
      </c>
      <c r="E3" s="19">
        <v>97126763443</v>
      </c>
      <c r="F3" s="13" t="str">
        <f t="shared" si="0"/>
        <v>https://wa.me/97126763443</v>
      </c>
      <c r="G3" s="1" t="str">
        <f>HYPERLINK("https://www.zomato.com/abudhabi/sheger-restaurant-tourist-club-area-al-zahiyah", "Zomato")</f>
        <v>Zomato</v>
      </c>
      <c r="I3" s="1" t="str">
        <f>HYPERLINK("https://www.tiktok.com/@sheger741?is_from_webapp=1&amp;sender_device=pc", "Tiktok")</f>
        <v>Tiktok</v>
      </c>
      <c r="K3" s="3" t="s">
        <v>29</v>
      </c>
      <c r="L3" s="1" t="s">
        <v>30</v>
      </c>
      <c r="M3" s="2" t="s">
        <v>31</v>
      </c>
      <c r="N3" s="2" t="s">
        <v>26</v>
      </c>
      <c r="O3" s="2"/>
      <c r="P3" s="2"/>
      <c r="T3" s="2" t="b">
        <v>1</v>
      </c>
      <c r="U3" s="7" t="s">
        <v>27</v>
      </c>
    </row>
    <row r="4" spans="1:22">
      <c r="A4" t="s">
        <v>32</v>
      </c>
      <c r="B4" t="s">
        <v>22</v>
      </c>
      <c r="C4" t="s">
        <v>256</v>
      </c>
      <c r="D4" s="9" t="s">
        <v>23</v>
      </c>
      <c r="E4" s="19" t="s">
        <v>33</v>
      </c>
      <c r="F4" s="13" t="str">
        <f t="shared" si="0"/>
        <v>https://wa.me/971565604941</v>
      </c>
      <c r="I4" s="1" t="str">
        <f>HYPERLINK("https://www.tiktok.com/@fayidaethiorestaurant?is_from_webapp=1&amp;sender_device=pc", "Tiktok")</f>
        <v>Tiktok</v>
      </c>
      <c r="J4" s="1" t="str">
        <f>HYPERLINK("https://www.facebook.com/share/1V8JtemN6L/?mibextid=wwXIfr","Facebook")</f>
        <v>Facebook</v>
      </c>
      <c r="K4" s="3" t="s">
        <v>34</v>
      </c>
      <c r="L4" s="1" t="s">
        <v>30</v>
      </c>
      <c r="M4" s="1" t="s">
        <v>35</v>
      </c>
      <c r="N4" s="2" t="s">
        <v>36</v>
      </c>
      <c r="O4" s="2"/>
      <c r="P4" s="2"/>
      <c r="R4" s="2" t="b">
        <v>1</v>
      </c>
      <c r="S4" s="2" t="b">
        <v>1</v>
      </c>
      <c r="U4" s="2" t="b">
        <v>1</v>
      </c>
      <c r="V4" t="s">
        <v>37</v>
      </c>
    </row>
    <row r="5" spans="1:22">
      <c r="A5" t="s">
        <v>38</v>
      </c>
      <c r="B5" t="s">
        <v>22</v>
      </c>
      <c r="C5" t="s">
        <v>257</v>
      </c>
      <c r="D5" s="9" t="s">
        <v>23</v>
      </c>
      <c r="E5" s="19">
        <v>97126780018</v>
      </c>
      <c r="F5" s="13" t="str">
        <f t="shared" si="0"/>
        <v>https://wa.me/97126780018</v>
      </c>
      <c r="G5" s="3" t="s">
        <v>39</v>
      </c>
      <c r="I5" s="1" t="s">
        <v>40</v>
      </c>
      <c r="J5" s="1" t="s">
        <v>41</v>
      </c>
      <c r="K5" s="3" t="s">
        <v>42</v>
      </c>
      <c r="L5" s="1" t="s">
        <v>43</v>
      </c>
      <c r="M5" s="1" t="s">
        <v>44</v>
      </c>
      <c r="N5" t="s">
        <v>45</v>
      </c>
      <c r="Q5" s="3" t="s">
        <v>46</v>
      </c>
      <c r="R5" s="2" t="b">
        <v>1</v>
      </c>
      <c r="S5" s="2" t="b">
        <v>1</v>
      </c>
      <c r="U5" s="2" t="b">
        <v>1</v>
      </c>
    </row>
    <row r="6" spans="1:22">
      <c r="A6" t="s">
        <v>47</v>
      </c>
      <c r="B6" t="s">
        <v>22</v>
      </c>
      <c r="C6" t="s">
        <v>258</v>
      </c>
      <c r="D6" s="9" t="s">
        <v>23</v>
      </c>
      <c r="E6" s="18">
        <v>971556301168</v>
      </c>
      <c r="F6" s="13" t="str">
        <f t="shared" si="0"/>
        <v>https://wa.me/971556301168</v>
      </c>
      <c r="G6" t="s">
        <v>48</v>
      </c>
      <c r="H6" t="s">
        <v>48</v>
      </c>
      <c r="I6" t="s">
        <v>48</v>
      </c>
      <c r="J6" t="s">
        <v>48</v>
      </c>
      <c r="K6" s="3" t="s">
        <v>49</v>
      </c>
      <c r="L6" s="2" t="s">
        <v>50</v>
      </c>
      <c r="M6" s="2" t="s">
        <v>26</v>
      </c>
      <c r="N6" s="2" t="s">
        <v>26</v>
      </c>
      <c r="O6" s="2"/>
      <c r="P6" s="2"/>
      <c r="R6" s="2" t="b">
        <v>1</v>
      </c>
      <c r="S6" s="2" t="b">
        <v>1</v>
      </c>
      <c r="T6" s="8" t="s">
        <v>51</v>
      </c>
      <c r="U6" s="2" t="b">
        <v>1</v>
      </c>
    </row>
    <row r="7" spans="1:22">
      <c r="A7" t="s">
        <v>52</v>
      </c>
      <c r="B7" t="s">
        <v>22</v>
      </c>
      <c r="C7" t="s">
        <v>259</v>
      </c>
      <c r="D7" s="9" t="s">
        <v>23</v>
      </c>
      <c r="E7" s="19" t="s">
        <v>53</v>
      </c>
      <c r="F7" s="13" t="str">
        <f t="shared" si="0"/>
        <v>https://wa.me/971501516261</v>
      </c>
      <c r="G7" s="1" t="s">
        <v>54</v>
      </c>
      <c r="H7" t="s">
        <v>48</v>
      </c>
      <c r="I7" t="s">
        <v>48</v>
      </c>
      <c r="J7" s="1" t="str">
        <f>HYPERLINK("https://www.facebook.com/alhabsharestaurantabudhabi/","Facebook")</f>
        <v>Facebook</v>
      </c>
      <c r="K7" s="3" t="s">
        <v>55</v>
      </c>
      <c r="L7" s="1" t="s">
        <v>56</v>
      </c>
      <c r="M7" s="2" t="s">
        <v>26</v>
      </c>
      <c r="N7" s="2" t="s">
        <v>26</v>
      </c>
      <c r="O7" s="2"/>
      <c r="P7" s="2"/>
      <c r="R7" s="2" t="b">
        <v>1</v>
      </c>
      <c r="S7" s="2" t="b">
        <v>1</v>
      </c>
      <c r="T7" s="8" t="s">
        <v>51</v>
      </c>
      <c r="U7" s="2" t="b">
        <v>1</v>
      </c>
    </row>
    <row r="8" spans="1:22">
      <c r="A8" t="s">
        <v>57</v>
      </c>
      <c r="B8" t="s">
        <v>22</v>
      </c>
      <c r="C8" t="s">
        <v>260</v>
      </c>
      <c r="D8" s="9" t="s">
        <v>23</v>
      </c>
      <c r="E8" s="19" t="s">
        <v>58</v>
      </c>
      <c r="F8" s="13" t="str">
        <f t="shared" si="0"/>
        <v>https://wa.me/971503964292</v>
      </c>
      <c r="G8" t="s">
        <v>48</v>
      </c>
      <c r="H8" t="s">
        <v>48</v>
      </c>
      <c r="I8" t="s">
        <v>48</v>
      </c>
      <c r="J8" t="s">
        <v>48</v>
      </c>
      <c r="K8" s="3" t="s">
        <v>57</v>
      </c>
      <c r="L8" s="2" t="s">
        <v>26</v>
      </c>
      <c r="M8" s="2" t="s">
        <v>26</v>
      </c>
      <c r="N8" s="2" t="s">
        <v>26</v>
      </c>
      <c r="O8" s="2"/>
      <c r="P8" s="2"/>
      <c r="R8" s="2" t="b">
        <v>1</v>
      </c>
      <c r="S8" s="2" t="b">
        <v>1</v>
      </c>
      <c r="T8" s="8" t="s">
        <v>59</v>
      </c>
      <c r="U8" t="s">
        <v>60</v>
      </c>
      <c r="V8" t="s">
        <v>61</v>
      </c>
    </row>
    <row r="9" spans="1:22">
      <c r="A9" t="s">
        <v>62</v>
      </c>
      <c r="B9" t="s">
        <v>22</v>
      </c>
      <c r="C9" t="s">
        <v>261</v>
      </c>
      <c r="D9" s="9" t="s">
        <v>23</v>
      </c>
      <c r="E9" s="19" t="s">
        <v>63</v>
      </c>
      <c r="F9" s="13" t="str">
        <f t="shared" si="0"/>
        <v>https://wa.me/971544445516</v>
      </c>
      <c r="G9" t="s">
        <v>48</v>
      </c>
      <c r="H9" t="s">
        <v>64</v>
      </c>
      <c r="I9" t="s">
        <v>48</v>
      </c>
      <c r="J9" t="s">
        <v>48</v>
      </c>
      <c r="K9" s="3" t="s">
        <v>65</v>
      </c>
      <c r="L9" s="1" t="s">
        <v>66</v>
      </c>
      <c r="M9" s="2" t="s">
        <v>26</v>
      </c>
      <c r="N9" s="2" t="s">
        <v>26</v>
      </c>
      <c r="O9" s="2"/>
      <c r="P9" s="2"/>
      <c r="R9" s="2" t="b">
        <v>1</v>
      </c>
      <c r="S9" s="2" t="b">
        <v>1</v>
      </c>
      <c r="T9" s="8" t="s">
        <v>59</v>
      </c>
      <c r="U9" s="2" t="b">
        <v>1</v>
      </c>
      <c r="V9" t="s">
        <v>67</v>
      </c>
    </row>
    <row r="10" spans="1:22">
      <c r="A10" t="s">
        <v>68</v>
      </c>
      <c r="B10" t="s">
        <v>22</v>
      </c>
      <c r="C10" t="s">
        <v>262</v>
      </c>
      <c r="D10" s="28" t="s">
        <v>23</v>
      </c>
      <c r="E10" s="18">
        <v>971502781390</v>
      </c>
      <c r="F10" s="13" t="str">
        <f t="shared" si="0"/>
        <v>https://wa.me/971502781390</v>
      </c>
      <c r="G10" t="s">
        <v>48</v>
      </c>
      <c r="H10" t="s">
        <v>26</v>
      </c>
      <c r="I10" t="s">
        <v>48</v>
      </c>
      <c r="J10" s="1" t="s">
        <v>69</v>
      </c>
      <c r="K10" s="3" t="s">
        <v>70</v>
      </c>
      <c r="L10" s="2" t="s">
        <v>26</v>
      </c>
      <c r="M10" s="2" t="s">
        <v>26</v>
      </c>
      <c r="N10" s="2" t="s">
        <v>26</v>
      </c>
      <c r="O10" s="2"/>
      <c r="P10" s="2"/>
      <c r="R10" s="2" t="b">
        <v>1</v>
      </c>
      <c r="S10" s="2" t="b">
        <v>1</v>
      </c>
      <c r="T10" s="8" t="s">
        <v>59</v>
      </c>
      <c r="U10" s="2" t="b">
        <v>1</v>
      </c>
      <c r="V10" t="s">
        <v>71</v>
      </c>
    </row>
    <row r="11" spans="1:22">
      <c r="E11" s="19"/>
      <c r="F11" s="8"/>
      <c r="G11" s="3"/>
      <c r="L11" s="2"/>
      <c r="M11" s="2"/>
      <c r="N11" s="2"/>
      <c r="O11" s="2"/>
      <c r="P11" s="2"/>
    </row>
    <row r="12" spans="1:22">
      <c r="A12" t="s">
        <v>72</v>
      </c>
      <c r="B12" t="s">
        <v>22</v>
      </c>
      <c r="C12" t="s">
        <v>263</v>
      </c>
      <c r="D12" s="9" t="s">
        <v>23</v>
      </c>
      <c r="E12" s="18">
        <v>971507927505</v>
      </c>
      <c r="F12" s="13" t="str">
        <f>HYPERLINK("https://wa.me/"&amp;SUBSTITUTE(SUBSTITUTE(E12,"+","")," ",""))</f>
        <v>https://wa.me/971507927505</v>
      </c>
      <c r="G12" s="50" t="s">
        <v>26</v>
      </c>
      <c r="H12" s="2" t="s">
        <v>48</v>
      </c>
      <c r="I12" s="2" t="s">
        <v>48</v>
      </c>
      <c r="J12" t="s">
        <v>48</v>
      </c>
      <c r="L12" s="1" t="s">
        <v>66</v>
      </c>
      <c r="M12" s="1" t="s">
        <v>73</v>
      </c>
      <c r="N12" s="2" t="s">
        <v>26</v>
      </c>
      <c r="O12" s="2"/>
      <c r="P12" s="2"/>
    </row>
    <row r="13" spans="1:22">
      <c r="A13" t="s">
        <v>74</v>
      </c>
      <c r="B13" t="s">
        <v>22</v>
      </c>
      <c r="C13" t="s">
        <v>264</v>
      </c>
      <c r="D13" s="9" t="s">
        <v>23</v>
      </c>
      <c r="E13" s="19" t="s">
        <v>75</v>
      </c>
      <c r="F13" s="13" t="str">
        <f>HYPERLINK("https://wa.me/"&amp;SUBSTITUTE(SUBSTITUTE(E13,"+","")," ",""))</f>
        <v>https://wa.me/971557279077</v>
      </c>
      <c r="G13" s="50" t="s">
        <v>26</v>
      </c>
      <c r="H13" s="2" t="s">
        <v>48</v>
      </c>
      <c r="I13" s="2" t="s">
        <v>48</v>
      </c>
      <c r="J13" t="s">
        <v>48</v>
      </c>
      <c r="L13" s="2" t="s">
        <v>26</v>
      </c>
      <c r="M13" s="2" t="s">
        <v>26</v>
      </c>
      <c r="N13" s="2" t="s">
        <v>26</v>
      </c>
      <c r="O13" s="2"/>
      <c r="P13" s="2"/>
    </row>
    <row r="14" spans="1:22">
      <c r="A14" t="s">
        <v>76</v>
      </c>
      <c r="B14" t="s">
        <v>22</v>
      </c>
      <c r="C14" t="s">
        <v>265</v>
      </c>
      <c r="D14" s="28" t="s">
        <v>23</v>
      </c>
      <c r="E14" s="19" t="s">
        <v>77</v>
      </c>
      <c r="F14" s="13" t="s">
        <v>77</v>
      </c>
      <c r="G14" s="50" t="s">
        <v>26</v>
      </c>
      <c r="H14" s="2" t="s">
        <v>48</v>
      </c>
      <c r="I14" s="2" t="s">
        <v>48</v>
      </c>
      <c r="J14" t="s">
        <v>48</v>
      </c>
      <c r="L14" s="2" t="s">
        <v>26</v>
      </c>
      <c r="M14" s="2" t="s">
        <v>26</v>
      </c>
      <c r="N14" s="2" t="s">
        <v>26</v>
      </c>
      <c r="O14" s="2"/>
      <c r="P14" s="2"/>
    </row>
    <row r="15" spans="1:22">
      <c r="A15" t="s">
        <v>78</v>
      </c>
      <c r="B15" t="s">
        <v>22</v>
      </c>
      <c r="C15" t="s">
        <v>266</v>
      </c>
      <c r="D15" s="28" t="s">
        <v>23</v>
      </c>
      <c r="E15" s="18">
        <v>971529904086</v>
      </c>
      <c r="F15" s="13" t="str">
        <f>HYPERLINK("https://wa.me/"&amp;SUBSTITUTE(SUBSTITUTE(E15,"+","")," ",""))</f>
        <v>https://wa.me/971529904086</v>
      </c>
      <c r="G15" s="1" t="s">
        <v>79</v>
      </c>
      <c r="H15" s="1" t="s">
        <v>80</v>
      </c>
      <c r="I15" s="1" t="str">
        <f>HYPERLINK("https://www.tiktok.com/@bab.alhabesha.rest", "Tiktok")</f>
        <v>Tiktok</v>
      </c>
      <c r="J15" s="1" t="s">
        <v>69</v>
      </c>
      <c r="K15" s="3" t="s">
        <v>81</v>
      </c>
      <c r="L15" t="s">
        <v>82</v>
      </c>
      <c r="M15" s="2" t="s">
        <v>35</v>
      </c>
      <c r="N15" s="2" t="s">
        <v>26</v>
      </c>
      <c r="O15" s="2"/>
      <c r="P15" s="2"/>
      <c r="R15" s="2" t="b">
        <v>1</v>
      </c>
      <c r="S15" s="2" t="b">
        <v>1</v>
      </c>
      <c r="U15" s="2" t="b">
        <v>1</v>
      </c>
    </row>
    <row r="16" spans="1:22">
      <c r="A16" t="s">
        <v>83</v>
      </c>
      <c r="B16" t="s">
        <v>22</v>
      </c>
      <c r="C16" t="s">
        <v>267</v>
      </c>
      <c r="D16" s="9" t="s">
        <v>23</v>
      </c>
      <c r="E16" s="19" t="s">
        <v>84</v>
      </c>
      <c r="F16" s="13" t="str">
        <f>HYPERLINK("https://wa.me/"&amp;SUBSTITUTE(SUBSTITUTE(E16,"+","")," ",""))</f>
        <v>https://wa.me/971505392488</v>
      </c>
      <c r="G16" s="50" t="s">
        <v>26</v>
      </c>
      <c r="H16" t="s">
        <v>48</v>
      </c>
      <c r="I16" t="s">
        <v>48</v>
      </c>
      <c r="J16" t="s">
        <v>48</v>
      </c>
      <c r="K16" s="3" t="s">
        <v>85</v>
      </c>
      <c r="L16" t="s">
        <v>66</v>
      </c>
      <c r="M16" s="2" t="s">
        <v>26</v>
      </c>
      <c r="N16" s="2" t="s">
        <v>26</v>
      </c>
      <c r="O16" s="2"/>
      <c r="P16" s="2"/>
      <c r="R16" s="2" t="b">
        <v>1</v>
      </c>
      <c r="S16" s="2" t="b">
        <v>1</v>
      </c>
      <c r="U16" s="2" t="b">
        <v>1</v>
      </c>
    </row>
    <row r="17" spans="1:22">
      <c r="A17" t="s">
        <v>86</v>
      </c>
      <c r="B17" t="s">
        <v>22</v>
      </c>
      <c r="C17" t="s">
        <v>268</v>
      </c>
      <c r="D17" s="9" t="s">
        <v>23</v>
      </c>
      <c r="E17" s="20" t="s">
        <v>87</v>
      </c>
      <c r="F17" s="13" t="str">
        <f>HYPERLINK("https://wa.me/"&amp;SUBSTITUTE(SUBSTITUTE(E17,"+","")," ",""))</f>
        <v>https://wa.me/971589399203</v>
      </c>
      <c r="G17" s="50" t="s">
        <v>26</v>
      </c>
      <c r="H17" t="s">
        <v>48</v>
      </c>
      <c r="I17" t="s">
        <v>48</v>
      </c>
      <c r="J17" t="s">
        <v>48</v>
      </c>
      <c r="K17" s="3" t="s">
        <v>88</v>
      </c>
      <c r="L17" s="2" t="s">
        <v>26</v>
      </c>
      <c r="M17" t="s">
        <v>89</v>
      </c>
      <c r="N17" s="2" t="s">
        <v>26</v>
      </c>
      <c r="O17" s="2"/>
      <c r="P17" s="2"/>
      <c r="R17" s="2" t="b">
        <v>1</v>
      </c>
      <c r="S17" s="2" t="b">
        <v>1</v>
      </c>
      <c r="V17" t="s">
        <v>90</v>
      </c>
    </row>
    <row r="18" spans="1:22">
      <c r="A18" s="2" t="s">
        <v>91</v>
      </c>
      <c r="B18" s="2" t="s">
        <v>92</v>
      </c>
      <c r="C18" s="2" t="s">
        <v>269</v>
      </c>
      <c r="D18" s="9" t="s">
        <v>93</v>
      </c>
      <c r="F18" s="13" t="s">
        <v>94</v>
      </c>
      <c r="G18" s="30" t="s">
        <v>48</v>
      </c>
      <c r="H18" s="2" t="s">
        <v>48</v>
      </c>
      <c r="I18" s="3" t="s">
        <v>95</v>
      </c>
      <c r="J18" s="2" t="s">
        <v>48</v>
      </c>
      <c r="K18" s="3" t="s">
        <v>96</v>
      </c>
      <c r="L18" s="2" t="s">
        <v>48</v>
      </c>
      <c r="M18" s="2" t="s">
        <v>26</v>
      </c>
      <c r="N18" s="2" t="s">
        <v>26</v>
      </c>
      <c r="O18" s="2"/>
      <c r="P18" s="2"/>
      <c r="Q18" s="3" t="s">
        <v>97</v>
      </c>
      <c r="R18" s="2" t="b">
        <v>1</v>
      </c>
      <c r="S18" s="14" t="s">
        <v>98</v>
      </c>
      <c r="T18" s="2" t="b">
        <v>1</v>
      </c>
      <c r="U18" s="2" t="b">
        <v>1</v>
      </c>
    </row>
    <row r="19" spans="1:22">
      <c r="A19" s="2" t="s">
        <v>99</v>
      </c>
      <c r="B19" s="2" t="s">
        <v>92</v>
      </c>
      <c r="C19" s="2" t="s">
        <v>270</v>
      </c>
      <c r="D19" s="9" t="s">
        <v>100</v>
      </c>
      <c r="F19" s="13" t="s">
        <v>101</v>
      </c>
      <c r="G19" s="30" t="s">
        <v>48</v>
      </c>
      <c r="H19" s="2" t="s">
        <v>48</v>
      </c>
      <c r="I19" s="3" t="s">
        <v>95</v>
      </c>
      <c r="J19" s="1" t="s">
        <v>69</v>
      </c>
      <c r="K19" s="3" t="s">
        <v>102</v>
      </c>
      <c r="L19" s="2" t="s">
        <v>26</v>
      </c>
      <c r="M19" s="2" t="s">
        <v>26</v>
      </c>
      <c r="N19" s="2" t="s">
        <v>26</v>
      </c>
      <c r="O19" s="2"/>
      <c r="P19" s="2"/>
      <c r="Q19" s="3" t="s">
        <v>103</v>
      </c>
      <c r="R19" s="2" t="b">
        <v>1</v>
      </c>
      <c r="S19" s="14" t="s">
        <v>98</v>
      </c>
      <c r="T19" s="2" t="b">
        <v>1</v>
      </c>
      <c r="U19" s="2" t="b">
        <v>1</v>
      </c>
    </row>
    <row r="20" spans="1:22">
      <c r="A20" s="2" t="s">
        <v>104</v>
      </c>
      <c r="B20" s="2" t="s">
        <v>92</v>
      </c>
      <c r="C20" s="2" t="s">
        <v>271</v>
      </c>
      <c r="D20" s="9" t="s">
        <v>105</v>
      </c>
      <c r="F20" s="13" t="s">
        <v>106</v>
      </c>
      <c r="G20" s="30" t="s">
        <v>48</v>
      </c>
      <c r="H20" s="2" t="s">
        <v>48</v>
      </c>
      <c r="I20" s="4" t="s">
        <v>48</v>
      </c>
      <c r="J20" s="3" t="s">
        <v>69</v>
      </c>
      <c r="K20" s="3" t="s">
        <v>107</v>
      </c>
      <c r="L20" s="2" t="s">
        <v>26</v>
      </c>
      <c r="M20" s="2" t="s">
        <v>26</v>
      </c>
      <c r="N20" s="2" t="s">
        <v>26</v>
      </c>
      <c r="O20" s="2"/>
      <c r="P20" s="2"/>
      <c r="Q20" s="3" t="s">
        <v>108</v>
      </c>
      <c r="R20" s="2" t="b">
        <v>1</v>
      </c>
      <c r="S20" s="14" t="s">
        <v>98</v>
      </c>
      <c r="T20" s="2" t="b">
        <v>1</v>
      </c>
      <c r="U20" s="2" t="b">
        <v>1</v>
      </c>
    </row>
    <row r="21" spans="1:22">
      <c r="A21" s="2" t="s">
        <v>109</v>
      </c>
      <c r="B21" s="2" t="s">
        <v>92</v>
      </c>
      <c r="C21" s="2" t="s">
        <v>272</v>
      </c>
      <c r="D21" s="9" t="s">
        <v>110</v>
      </c>
      <c r="F21" s="13" t="s">
        <v>111</v>
      </c>
      <c r="G21" s="30" t="s">
        <v>48</v>
      </c>
      <c r="H21" s="2" t="s">
        <v>48</v>
      </c>
      <c r="I21" s="1" t="s">
        <v>95</v>
      </c>
      <c r="J21" s="1" t="s">
        <v>69</v>
      </c>
      <c r="K21" s="1" t="s">
        <v>112</v>
      </c>
      <c r="L21" s="2" t="s">
        <v>26</v>
      </c>
      <c r="M21" s="2" t="s">
        <v>26</v>
      </c>
      <c r="N21" s="2" t="s">
        <v>26</v>
      </c>
      <c r="O21" s="2"/>
      <c r="P21" s="2"/>
      <c r="Q21" s="3" t="s">
        <v>113</v>
      </c>
      <c r="R21" s="2" t="b">
        <v>1</v>
      </c>
      <c r="S21" s="14" t="s">
        <v>98</v>
      </c>
      <c r="T21" s="2" t="b">
        <v>1</v>
      </c>
      <c r="U21" s="2" t="b">
        <v>1</v>
      </c>
    </row>
    <row r="22" spans="1:22">
      <c r="A22" s="2" t="s">
        <v>114</v>
      </c>
      <c r="B22" s="2" t="s">
        <v>92</v>
      </c>
      <c r="C22" s="2" t="s">
        <v>273</v>
      </c>
      <c r="D22" s="9" t="s">
        <v>115</v>
      </c>
      <c r="F22" s="13" t="s">
        <v>116</v>
      </c>
      <c r="G22" s="30" t="s">
        <v>48</v>
      </c>
      <c r="H22" s="3" t="s">
        <v>117</v>
      </c>
      <c r="I22" s="1" t="s">
        <v>95</v>
      </c>
      <c r="J22" s="1" t="s">
        <v>69</v>
      </c>
      <c r="K22" s="3" t="s">
        <v>118</v>
      </c>
      <c r="L22" s="2" t="s">
        <v>119</v>
      </c>
      <c r="M22" s="2" t="s">
        <v>30</v>
      </c>
      <c r="N22" s="2" t="s">
        <v>26</v>
      </c>
      <c r="O22" s="2"/>
      <c r="P22" s="2"/>
      <c r="Q22" s="2"/>
      <c r="R22" s="2" t="b">
        <v>1</v>
      </c>
      <c r="S22" s="14" t="s">
        <v>98</v>
      </c>
      <c r="T22" s="2" t="b">
        <v>1</v>
      </c>
      <c r="U22" s="2" t="b">
        <v>1</v>
      </c>
    </row>
    <row r="23" spans="1:22">
      <c r="A23" s="11" t="s">
        <v>120</v>
      </c>
      <c r="B23" s="2" t="s">
        <v>92</v>
      </c>
      <c r="C23" s="2" t="s">
        <v>274</v>
      </c>
      <c r="D23" s="9" t="s">
        <v>121</v>
      </c>
      <c r="E23" s="51">
        <v>556887182</v>
      </c>
      <c r="F23" s="13" t="s">
        <v>122</v>
      </c>
      <c r="G23" s="30" t="s">
        <v>48</v>
      </c>
      <c r="H23" s="2" t="s">
        <v>48</v>
      </c>
      <c r="I23" s="3" t="s">
        <v>123</v>
      </c>
      <c r="J23" s="5" t="s">
        <v>48</v>
      </c>
      <c r="K23" s="1" t="s">
        <v>124</v>
      </c>
      <c r="L23" s="2" t="s">
        <v>26</v>
      </c>
      <c r="M23" s="2" t="s">
        <v>26</v>
      </c>
      <c r="N23" s="2" t="s">
        <v>26</v>
      </c>
      <c r="O23" s="2"/>
      <c r="P23" s="2"/>
      <c r="Q23" s="1" t="s">
        <v>125</v>
      </c>
      <c r="R23" s="12" t="b">
        <v>1</v>
      </c>
      <c r="S23" s="14" t="s">
        <v>98</v>
      </c>
      <c r="T23" s="2"/>
      <c r="U23" s="2"/>
    </row>
    <row r="24" spans="1:22">
      <c r="A24" s="2" t="s">
        <v>126</v>
      </c>
      <c r="B24" s="2" t="s">
        <v>92</v>
      </c>
      <c r="C24" s="2" t="s">
        <v>275</v>
      </c>
      <c r="D24" s="9" t="s">
        <v>127</v>
      </c>
      <c r="E24" s="20" t="s">
        <v>77</v>
      </c>
      <c r="F24" s="14"/>
      <c r="G24" s="3"/>
      <c r="H24" s="2"/>
      <c r="I24" s="2"/>
      <c r="J24" s="5"/>
      <c r="K24" s="2"/>
      <c r="L24" s="2" t="s">
        <v>26</v>
      </c>
      <c r="M24" s="2" t="s">
        <v>26</v>
      </c>
      <c r="N24" s="2" t="s">
        <v>26</v>
      </c>
      <c r="O24" s="2"/>
      <c r="P24" s="2"/>
      <c r="Q24" s="2"/>
      <c r="R24" s="2"/>
      <c r="S24" s="14" t="s">
        <v>98</v>
      </c>
      <c r="T24" s="2"/>
      <c r="U24" s="2"/>
    </row>
    <row r="25" spans="1:22" ht="16.5">
      <c r="A25" s="5" t="s">
        <v>128</v>
      </c>
      <c r="B25" s="2" t="s">
        <v>92</v>
      </c>
      <c r="C25" s="2" t="s">
        <v>276</v>
      </c>
      <c r="D25" s="9" t="s">
        <v>129</v>
      </c>
      <c r="E25" s="54" t="s">
        <v>130</v>
      </c>
      <c r="F25" s="13" t="s">
        <v>131</v>
      </c>
      <c r="G25" s="3" t="s">
        <v>48</v>
      </c>
      <c r="H25" s="5" t="s">
        <v>26</v>
      </c>
      <c r="I25" s="4" t="s">
        <v>48</v>
      </c>
      <c r="J25" s="1" t="s">
        <v>132</v>
      </c>
      <c r="K25" s="2"/>
      <c r="L25" s="2" t="s">
        <v>26</v>
      </c>
      <c r="M25" s="2" t="s">
        <v>26</v>
      </c>
      <c r="N25" s="2" t="s">
        <v>26</v>
      </c>
      <c r="O25" s="2"/>
      <c r="P25" s="2"/>
      <c r="R25" s="5" t="b">
        <v>1</v>
      </c>
      <c r="S25" s="14" t="s">
        <v>98</v>
      </c>
      <c r="T25" s="2" t="b">
        <v>1</v>
      </c>
      <c r="U25" s="2" t="b">
        <v>1</v>
      </c>
    </row>
    <row r="26" spans="1:22">
      <c r="A26" s="6" t="s">
        <v>133</v>
      </c>
      <c r="B26" t="s">
        <v>134</v>
      </c>
      <c r="C26" t="s">
        <v>277</v>
      </c>
      <c r="D26" s="9" t="s">
        <v>135</v>
      </c>
      <c r="E26" s="20" t="s">
        <v>136</v>
      </c>
      <c r="F26" s="13" t="s">
        <v>137</v>
      </c>
      <c r="G26" s="3"/>
      <c r="H26" s="2"/>
      <c r="I26" s="4"/>
      <c r="J26" s="5"/>
      <c r="K26" s="3" t="s">
        <v>138</v>
      </c>
      <c r="L26" s="2" t="s">
        <v>30</v>
      </c>
      <c r="M26" s="2" t="s">
        <v>26</v>
      </c>
      <c r="N26" s="2" t="s">
        <v>26</v>
      </c>
      <c r="O26" s="2"/>
      <c r="P26" s="2"/>
      <c r="Q26" s="3" t="s">
        <v>139</v>
      </c>
      <c r="R26" s="5" t="b">
        <v>1</v>
      </c>
      <c r="S26" s="14" t="s">
        <v>98</v>
      </c>
      <c r="T26" s="2" t="b">
        <v>1</v>
      </c>
      <c r="U26" s="2" t="b">
        <v>1</v>
      </c>
    </row>
    <row r="27" spans="1:22">
      <c r="A27" s="2" t="s">
        <v>140</v>
      </c>
      <c r="B27" t="s">
        <v>134</v>
      </c>
      <c r="C27" t="s">
        <v>278</v>
      </c>
      <c r="D27" s="9" t="s">
        <v>141</v>
      </c>
      <c r="E27" s="20" t="s">
        <v>142</v>
      </c>
      <c r="F27" s="13" t="s">
        <v>143</v>
      </c>
      <c r="G27" s="3" t="s">
        <v>79</v>
      </c>
      <c r="H27" s="2"/>
      <c r="I27" s="4"/>
      <c r="J27" s="5"/>
      <c r="K27" s="1" t="s">
        <v>144</v>
      </c>
      <c r="L27" s="2" t="s">
        <v>26</v>
      </c>
      <c r="M27" s="2" t="s">
        <v>26</v>
      </c>
      <c r="N27" s="2" t="s">
        <v>26</v>
      </c>
      <c r="O27" s="2"/>
      <c r="P27" s="2"/>
      <c r="Q27" s="2"/>
      <c r="R27" s="40" t="b">
        <v>1</v>
      </c>
      <c r="S27" s="14" t="s">
        <v>98</v>
      </c>
      <c r="T27" s="14" t="b">
        <v>1</v>
      </c>
      <c r="U27" s="14" t="b">
        <v>1</v>
      </c>
    </row>
    <row r="28" spans="1:22">
      <c r="A28" s="2" t="s">
        <v>145</v>
      </c>
      <c r="B28" t="s">
        <v>134</v>
      </c>
      <c r="C28" t="s">
        <v>279</v>
      </c>
      <c r="D28" s="9" t="s">
        <v>146</v>
      </c>
      <c r="E28" s="20" t="s">
        <v>147</v>
      </c>
      <c r="F28" s="13" t="s">
        <v>148</v>
      </c>
      <c r="G28" s="3"/>
      <c r="H28" s="2"/>
      <c r="I28" s="4"/>
      <c r="J28" s="5"/>
      <c r="K28" s="2"/>
      <c r="L28" s="2" t="s">
        <v>26</v>
      </c>
      <c r="M28" s="2" t="s">
        <v>26</v>
      </c>
      <c r="N28" s="2" t="s">
        <v>26</v>
      </c>
      <c r="O28" s="2"/>
      <c r="P28" s="2"/>
      <c r="Q28" s="2"/>
      <c r="R28" s="40" t="b">
        <v>1</v>
      </c>
      <c r="S28" s="14" t="s">
        <v>98</v>
      </c>
      <c r="T28" s="14" t="b">
        <v>1</v>
      </c>
      <c r="U28" s="14" t="b">
        <v>1</v>
      </c>
    </row>
    <row r="29" spans="1:22">
      <c r="A29" s="2" t="s">
        <v>149</v>
      </c>
      <c r="B29" t="s">
        <v>134</v>
      </c>
      <c r="C29" t="s">
        <v>280</v>
      </c>
      <c r="D29" s="9" t="s">
        <v>146</v>
      </c>
      <c r="E29" s="20" t="s">
        <v>150</v>
      </c>
      <c r="F29" s="13" t="s">
        <v>151</v>
      </c>
      <c r="G29" s="1" t="s">
        <v>48</v>
      </c>
      <c r="H29" s="2" t="s">
        <v>26</v>
      </c>
      <c r="I29" s="4"/>
      <c r="J29" s="1" t="s">
        <v>152</v>
      </c>
      <c r="K29" s="2"/>
      <c r="L29" s="2" t="s">
        <v>26</v>
      </c>
      <c r="M29" s="2" t="s">
        <v>26</v>
      </c>
      <c r="N29" s="2" t="s">
        <v>26</v>
      </c>
      <c r="O29" s="2"/>
      <c r="P29" s="2"/>
      <c r="Q29" s="2"/>
      <c r="R29" s="40" t="b">
        <v>1</v>
      </c>
      <c r="S29" s="14" t="s">
        <v>98</v>
      </c>
      <c r="T29" s="14" t="b">
        <v>1</v>
      </c>
      <c r="U29" s="14" t="b">
        <v>1</v>
      </c>
    </row>
    <row r="30" spans="1:22">
      <c r="A30" s="2" t="s">
        <v>153</v>
      </c>
      <c r="B30" t="s">
        <v>134</v>
      </c>
      <c r="C30" t="s">
        <v>281</v>
      </c>
      <c r="D30" s="9" t="s">
        <v>154</v>
      </c>
      <c r="F30" s="13" t="s">
        <v>155</v>
      </c>
      <c r="G30" s="3"/>
      <c r="H30" s="2"/>
      <c r="I30" s="4"/>
      <c r="J30" s="5"/>
      <c r="K30" s="2"/>
      <c r="L30" s="2" t="s">
        <v>26</v>
      </c>
      <c r="M30" s="2" t="s">
        <v>26</v>
      </c>
      <c r="N30" s="2" t="s">
        <v>26</v>
      </c>
      <c r="O30" s="2"/>
      <c r="P30" s="2"/>
      <c r="Q30" s="2"/>
      <c r="R30" s="40" t="b">
        <v>1</v>
      </c>
      <c r="S30" s="14" t="s">
        <v>98</v>
      </c>
      <c r="T30" s="14" t="b">
        <v>1</v>
      </c>
      <c r="U30" s="14" t="b">
        <v>1</v>
      </c>
    </row>
    <row r="31" spans="1:22">
      <c r="A31" s="2" t="s">
        <v>156</v>
      </c>
      <c r="B31" t="s">
        <v>134</v>
      </c>
      <c r="C31" t="s">
        <v>282</v>
      </c>
      <c r="D31" s="9" t="s">
        <v>146</v>
      </c>
      <c r="E31" s="19"/>
      <c r="F31" s="13" t="s">
        <v>157</v>
      </c>
      <c r="G31" s="2"/>
      <c r="H31" s="2"/>
      <c r="I31" s="4"/>
      <c r="J31" s="2"/>
      <c r="K31" s="2"/>
      <c r="L31" s="2" t="s">
        <v>26</v>
      </c>
      <c r="M31" s="2" t="s">
        <v>26</v>
      </c>
      <c r="N31" s="2" t="s">
        <v>26</v>
      </c>
      <c r="O31" s="2"/>
      <c r="P31" s="2"/>
      <c r="Q31" s="2"/>
      <c r="R31" s="40" t="b">
        <v>1</v>
      </c>
      <c r="S31" s="14" t="s">
        <v>98</v>
      </c>
      <c r="T31" s="14" t="b">
        <v>1</v>
      </c>
      <c r="U31" s="14" t="b">
        <v>1</v>
      </c>
    </row>
    <row r="32" spans="1:22">
      <c r="A32" s="2" t="s">
        <v>158</v>
      </c>
      <c r="B32" t="s">
        <v>134</v>
      </c>
      <c r="C32" t="s">
        <v>283</v>
      </c>
      <c r="D32" s="9" t="s">
        <v>159</v>
      </c>
      <c r="E32" s="19"/>
      <c r="F32" s="13" t="s">
        <v>160</v>
      </c>
      <c r="G32" s="3"/>
      <c r="H32" s="2"/>
      <c r="I32" s="3" t="s">
        <v>123</v>
      </c>
      <c r="J32" s="2"/>
      <c r="K32" s="2"/>
      <c r="L32" s="2"/>
      <c r="M32" s="2"/>
      <c r="N32" s="2"/>
      <c r="O32" s="2"/>
      <c r="P32" s="2"/>
      <c r="Q32" s="2"/>
      <c r="R32" s="14"/>
      <c r="S32" s="14"/>
      <c r="T32" s="14"/>
      <c r="U32" s="14"/>
    </row>
    <row r="33" spans="1:21" ht="15.75">
      <c r="A33" s="21" t="s">
        <v>161</v>
      </c>
      <c r="B33" t="s">
        <v>162</v>
      </c>
      <c r="C33" t="s">
        <v>284</v>
      </c>
      <c r="D33" s="9" t="str">
        <f>HYPERLINK("https://maps.app.goo.gl/FSY9JWHxk16xRpCL6 ", "Map")</f>
        <v>Map</v>
      </c>
      <c r="E33" s="8"/>
      <c r="F33" s="1" t="str">
        <f>HYPERLINK("tel:042726118", "Call")</f>
        <v>Call</v>
      </c>
      <c r="G33" s="8" t="s">
        <v>48</v>
      </c>
      <c r="H33" s="8" t="s">
        <v>48</v>
      </c>
      <c r="I33" t="s">
        <v>48</v>
      </c>
      <c r="R33" s="8"/>
      <c r="S33" s="8"/>
      <c r="T33" s="8"/>
      <c r="U33" s="8"/>
    </row>
    <row r="34" spans="1:21" ht="15.75">
      <c r="A34" s="23" t="s">
        <v>163</v>
      </c>
      <c r="B34" t="s">
        <v>164</v>
      </c>
      <c r="C34" t="s">
        <v>285</v>
      </c>
      <c r="D34" s="9" t="s">
        <v>93</v>
      </c>
      <c r="E34" s="19" t="s">
        <v>165</v>
      </c>
      <c r="F34" s="25" t="s">
        <v>166</v>
      </c>
      <c r="G34" s="8" t="s">
        <v>48</v>
      </c>
      <c r="H34" s="8" t="s">
        <v>48</v>
      </c>
      <c r="I34" t="s">
        <v>48</v>
      </c>
      <c r="J34" t="s">
        <v>26</v>
      </c>
      <c r="K34" s="3" t="s">
        <v>124</v>
      </c>
      <c r="L34" t="s">
        <v>48</v>
      </c>
      <c r="M34" t="s">
        <v>48</v>
      </c>
      <c r="N34" t="s">
        <v>48</v>
      </c>
      <c r="Q34" s="3" t="s">
        <v>46</v>
      </c>
      <c r="R34" s="8" t="b">
        <v>1</v>
      </c>
      <c r="S34" s="8" t="s">
        <v>98</v>
      </c>
      <c r="T34" s="8" t="s">
        <v>59</v>
      </c>
      <c r="U34" s="8" t="b">
        <v>1</v>
      </c>
    </row>
    <row r="35" spans="1:21" ht="15.75">
      <c r="A35" s="22" t="s">
        <v>167</v>
      </c>
      <c r="B35" t="s">
        <v>164</v>
      </c>
      <c r="C35" t="s">
        <v>286</v>
      </c>
      <c r="D35" s="9" t="s">
        <v>93</v>
      </c>
      <c r="E35" s="19" t="s">
        <v>168</v>
      </c>
      <c r="F35" s="26" t="s">
        <v>169</v>
      </c>
      <c r="G35" s="8" t="s">
        <v>48</v>
      </c>
      <c r="H35" s="13" t="s">
        <v>6</v>
      </c>
      <c r="I35" t="s">
        <v>48</v>
      </c>
      <c r="J35" t="s">
        <v>26</v>
      </c>
      <c r="K35" s="3" t="s">
        <v>170</v>
      </c>
      <c r="L35" t="s">
        <v>48</v>
      </c>
      <c r="M35" t="s">
        <v>48</v>
      </c>
      <c r="N35" t="s">
        <v>48</v>
      </c>
      <c r="Q35" s="3" t="s">
        <v>171</v>
      </c>
      <c r="R35" s="8" t="b">
        <v>1</v>
      </c>
      <c r="S35" s="8" t="s">
        <v>172</v>
      </c>
      <c r="T35" s="8" t="b">
        <v>1</v>
      </c>
      <c r="U35" s="8" t="s">
        <v>59</v>
      </c>
    </row>
    <row r="36" spans="1:21" ht="15.75">
      <c r="A36" s="22" t="s">
        <v>173</v>
      </c>
      <c r="B36" t="s">
        <v>164</v>
      </c>
      <c r="C36" t="s">
        <v>287</v>
      </c>
      <c r="D36" s="9" t="s">
        <v>93</v>
      </c>
      <c r="E36" s="19" t="s">
        <v>174</v>
      </c>
      <c r="F36" s="26" t="s">
        <v>175</v>
      </c>
      <c r="G36" s="8" t="s">
        <v>48</v>
      </c>
      <c r="H36" s="8" t="s">
        <v>48</v>
      </c>
      <c r="I36" t="s">
        <v>48</v>
      </c>
      <c r="J36" t="s">
        <v>48</v>
      </c>
      <c r="K36" s="3" t="s">
        <v>170</v>
      </c>
      <c r="L36" t="s">
        <v>48</v>
      </c>
      <c r="M36" t="s">
        <v>48</v>
      </c>
      <c r="N36" t="s">
        <v>48</v>
      </c>
      <c r="Q36" s="3" t="s">
        <v>171</v>
      </c>
      <c r="R36" s="8" t="s">
        <v>59</v>
      </c>
      <c r="S36" s="8" t="s">
        <v>172</v>
      </c>
      <c r="T36" s="8" t="s">
        <v>176</v>
      </c>
      <c r="U36" s="8" t="s">
        <v>59</v>
      </c>
    </row>
    <row r="37" spans="1:21" ht="31.5">
      <c r="A37" s="24" t="s">
        <v>177</v>
      </c>
      <c r="B37" t="s">
        <v>164</v>
      </c>
      <c r="C37" t="s">
        <v>288</v>
      </c>
      <c r="D37" s="9" t="s">
        <v>93</v>
      </c>
      <c r="E37" s="19" t="s">
        <v>178</v>
      </c>
      <c r="F37" s="26" t="s">
        <v>179</v>
      </c>
      <c r="G37" s="8" t="s">
        <v>48</v>
      </c>
      <c r="H37" s="8" t="s">
        <v>48</v>
      </c>
      <c r="I37" t="s">
        <v>48</v>
      </c>
      <c r="J37" t="s">
        <v>48</v>
      </c>
      <c r="K37" s="3" t="s">
        <v>170</v>
      </c>
      <c r="L37" t="s">
        <v>48</v>
      </c>
      <c r="M37" t="s">
        <v>48</v>
      </c>
      <c r="N37" t="s">
        <v>48</v>
      </c>
      <c r="Q37" s="3" t="s">
        <v>171</v>
      </c>
      <c r="R37" s="8" t="s">
        <v>59</v>
      </c>
      <c r="S37" s="8" t="s">
        <v>172</v>
      </c>
      <c r="T37" s="8" t="s">
        <v>176</v>
      </c>
      <c r="U37" s="8" t="s">
        <v>59</v>
      </c>
    </row>
    <row r="38" spans="1:21" ht="15.75">
      <c r="A38" s="22" t="s">
        <v>180</v>
      </c>
      <c r="B38" t="s">
        <v>162</v>
      </c>
      <c r="C38" t="s">
        <v>289</v>
      </c>
      <c r="D38" s="28" t="s">
        <v>93</v>
      </c>
      <c r="E38" s="29"/>
      <c r="F38" s="26" t="s">
        <v>181</v>
      </c>
      <c r="G38" s="26" t="s">
        <v>182</v>
      </c>
      <c r="H38" s="37" t="s">
        <v>6</v>
      </c>
      <c r="I38" s="37" t="s">
        <v>7</v>
      </c>
      <c r="J38" s="37" t="s">
        <v>8</v>
      </c>
      <c r="K38" s="1" t="s">
        <v>124</v>
      </c>
      <c r="L38" t="s">
        <v>183</v>
      </c>
      <c r="M38" t="s">
        <v>66</v>
      </c>
      <c r="N38" t="s">
        <v>119</v>
      </c>
      <c r="O38" t="s">
        <v>184</v>
      </c>
      <c r="P38" t="s">
        <v>185</v>
      </c>
      <c r="Q38" t="s">
        <v>171</v>
      </c>
      <c r="R38" s="8" t="s">
        <v>59</v>
      </c>
      <c r="S38" s="8" t="s">
        <v>98</v>
      </c>
      <c r="T38" s="8" t="b">
        <v>1</v>
      </c>
      <c r="U38" s="8" t="s">
        <v>59</v>
      </c>
    </row>
    <row r="39" spans="1:21" ht="15.75">
      <c r="A39" s="27" t="s">
        <v>186</v>
      </c>
      <c r="B39" t="s">
        <v>162</v>
      </c>
      <c r="C39" t="s">
        <v>290</v>
      </c>
      <c r="D39" s="28" t="s">
        <v>23</v>
      </c>
      <c r="E39" s="19"/>
      <c r="F39" s="26" t="s">
        <v>187</v>
      </c>
      <c r="G39" s="8" t="s">
        <v>48</v>
      </c>
      <c r="H39" s="31" t="s">
        <v>6</v>
      </c>
      <c r="I39" s="26" t="s">
        <v>7</v>
      </c>
      <c r="J39" s="26" t="s">
        <v>8</v>
      </c>
      <c r="K39" s="1" t="s">
        <v>124</v>
      </c>
      <c r="L39" t="s">
        <v>183</v>
      </c>
      <c r="M39" t="s">
        <v>30</v>
      </c>
      <c r="N39" t="s">
        <v>184</v>
      </c>
      <c r="O39" t="s">
        <v>48</v>
      </c>
      <c r="P39" t="s">
        <v>48</v>
      </c>
      <c r="Q39" t="s">
        <v>171</v>
      </c>
      <c r="R39" s="8" t="s">
        <v>59</v>
      </c>
      <c r="S39" s="8" t="s">
        <v>98</v>
      </c>
      <c r="T39" s="8" t="b">
        <v>1</v>
      </c>
      <c r="U39" s="8" t="s">
        <v>59</v>
      </c>
    </row>
    <row r="40" spans="1:21" ht="15.75">
      <c r="A40" s="32" t="s">
        <v>188</v>
      </c>
      <c r="B40" t="s">
        <v>162</v>
      </c>
      <c r="C40" t="s">
        <v>291</v>
      </c>
      <c r="D40" s="28" t="s">
        <v>93</v>
      </c>
      <c r="E40" s="19"/>
      <c r="F40" s="26" t="s">
        <v>189</v>
      </c>
      <c r="G40" s="8" t="s">
        <v>26</v>
      </c>
      <c r="H40" s="26" t="s">
        <v>6</v>
      </c>
      <c r="I40" s="26" t="s">
        <v>7</v>
      </c>
      <c r="J40" s="8" t="s">
        <v>26</v>
      </c>
      <c r="K40" s="1" t="s">
        <v>124</v>
      </c>
      <c r="L40" t="s">
        <v>48</v>
      </c>
      <c r="M40" t="s">
        <v>26</v>
      </c>
      <c r="N40" t="s">
        <v>26</v>
      </c>
      <c r="O40" t="s">
        <v>48</v>
      </c>
      <c r="P40" t="s">
        <v>48</v>
      </c>
      <c r="Q40" t="s">
        <v>190</v>
      </c>
      <c r="R40" s="8" t="s">
        <v>59</v>
      </c>
      <c r="S40" s="8" t="s">
        <v>98</v>
      </c>
      <c r="T40" s="8" t="s">
        <v>59</v>
      </c>
      <c r="U40" s="8" t="s">
        <v>59</v>
      </c>
    </row>
    <row r="41" spans="1:21" ht="15.75">
      <c r="A41" s="22" t="s">
        <v>191</v>
      </c>
      <c r="B41" t="s">
        <v>162</v>
      </c>
      <c r="C41" t="s">
        <v>292</v>
      </c>
      <c r="D41" s="28" t="str">
        <f>HYPERLINK("https://maps.app.goo.gl/Jj7ueYecvpR", "map")</f>
        <v>map</v>
      </c>
      <c r="E41" s="19"/>
      <c r="F41" s="26" t="str">
        <f>HYPERLINK("tel:042217202", "Call")</f>
        <v>Call</v>
      </c>
      <c r="G41" s="46" t="s">
        <v>48</v>
      </c>
      <c r="H41" s="37" t="str">
        <f>HYPERLINK("https://www.instagram.com/p/BTX6UxYh3Ob/", "INSTAGRAM_LINK")</f>
        <v>INSTAGRAM_LINK</v>
      </c>
      <c r="I41" s="46" t="s">
        <v>48</v>
      </c>
      <c r="J41" s="46" t="s">
        <v>48</v>
      </c>
      <c r="K41" s="46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s="1" t="str">
        <f>HYPERLINK("https://ethiopiandining.com/listings/united-arab-emirates/emirate-of-dubai/dubai/restaurants/tigi-ethiopian-cafeteria-cafe/", "Images")</f>
        <v>Images</v>
      </c>
      <c r="R41" s="8" t="s">
        <v>59</v>
      </c>
      <c r="S41" s="8" t="s">
        <v>98</v>
      </c>
      <c r="T41" s="8" t="s">
        <v>192</v>
      </c>
      <c r="U41" s="8" t="s">
        <v>59</v>
      </c>
    </row>
    <row r="42" spans="1:21" ht="15.75">
      <c r="A42" s="33" t="s">
        <v>193</v>
      </c>
      <c r="B42" t="s">
        <v>162</v>
      </c>
      <c r="C42" t="s">
        <v>313</v>
      </c>
      <c r="D42" s="28" t="s">
        <v>93</v>
      </c>
      <c r="E42" s="34">
        <v>971581740645</v>
      </c>
      <c r="F42" s="26" t="s">
        <v>194</v>
      </c>
      <c r="G42" s="46" t="s">
        <v>48</v>
      </c>
      <c r="H42" s="37" t="s">
        <v>6</v>
      </c>
      <c r="I42" s="37" t="s">
        <v>7</v>
      </c>
      <c r="J42" s="37" t="s">
        <v>8</v>
      </c>
      <c r="K42" s="37" t="s">
        <v>124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s="1" t="s">
        <v>171</v>
      </c>
      <c r="R42" s="8" t="s">
        <v>59</v>
      </c>
      <c r="S42" s="8" t="s">
        <v>98</v>
      </c>
      <c r="T42" s="8" t="s">
        <v>176</v>
      </c>
      <c r="U42" s="8" t="s">
        <v>59</v>
      </c>
    </row>
    <row r="43" spans="1:21" ht="15.75">
      <c r="A43" s="33" t="s">
        <v>195</v>
      </c>
      <c r="B43" t="s">
        <v>162</v>
      </c>
      <c r="C43" t="s">
        <v>312</v>
      </c>
      <c r="D43" s="28" t="s">
        <v>93</v>
      </c>
      <c r="E43" s="35">
        <v>971501245858</v>
      </c>
      <c r="F43" s="26" t="s">
        <v>187</v>
      </c>
      <c r="G43" s="46" t="s">
        <v>48</v>
      </c>
      <c r="H43" s="37" t="s">
        <v>6</v>
      </c>
      <c r="I43" s="37" t="s">
        <v>7</v>
      </c>
      <c r="J43" s="37" t="s">
        <v>8</v>
      </c>
      <c r="K43" s="37" t="s">
        <v>112</v>
      </c>
      <c r="L43" s="41" t="s">
        <v>30</v>
      </c>
      <c r="M43" s="41" t="s">
        <v>196</v>
      </c>
      <c r="N43" t="s">
        <v>48</v>
      </c>
      <c r="O43" t="s">
        <v>48</v>
      </c>
      <c r="P43" t="s">
        <v>48</v>
      </c>
      <c r="Q43" s="1" t="s">
        <v>171</v>
      </c>
      <c r="R43" s="8" t="s">
        <v>59</v>
      </c>
      <c r="S43" s="8" t="s">
        <v>98</v>
      </c>
      <c r="T43" s="8" t="s">
        <v>59</v>
      </c>
      <c r="U43" s="8" t="s">
        <v>59</v>
      </c>
    </row>
    <row r="44" spans="1:21" ht="15.75">
      <c r="A44" s="33" t="s">
        <v>197</v>
      </c>
      <c r="B44" t="s">
        <v>162</v>
      </c>
      <c r="C44" t="s">
        <v>311</v>
      </c>
      <c r="D44" s="28" t="s">
        <v>93</v>
      </c>
      <c r="E44" s="36">
        <v>971586547170</v>
      </c>
      <c r="F44" s="26" t="s">
        <v>198</v>
      </c>
      <c r="G44" s="37" t="s">
        <v>5</v>
      </c>
      <c r="H44" s="46" t="s">
        <v>48</v>
      </c>
      <c r="I44" s="37" t="s">
        <v>7</v>
      </c>
      <c r="J44" s="46" t="s">
        <v>48</v>
      </c>
      <c r="K44" s="37" t="s">
        <v>170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s="1" t="s">
        <v>171</v>
      </c>
      <c r="R44" s="8" t="s">
        <v>59</v>
      </c>
      <c r="S44" s="8" t="s">
        <v>98</v>
      </c>
      <c r="T44" s="8" t="s">
        <v>59</v>
      </c>
      <c r="U44" s="8" t="s">
        <v>59</v>
      </c>
    </row>
    <row r="45" spans="1:21" ht="15.75">
      <c r="A45" s="33" t="s">
        <v>199</v>
      </c>
      <c r="B45" t="s">
        <v>162</v>
      </c>
      <c r="C45" t="s">
        <v>310</v>
      </c>
      <c r="D45" s="28" t="s">
        <v>93</v>
      </c>
      <c r="E45" s="42">
        <v>971542461768</v>
      </c>
      <c r="F45" s="26" t="s">
        <v>200</v>
      </c>
      <c r="G45" s="46" t="s">
        <v>48</v>
      </c>
      <c r="H45" s="46" t="s">
        <v>48</v>
      </c>
      <c r="I45" s="37" t="s">
        <v>7</v>
      </c>
      <c r="J45" s="46" t="s">
        <v>48</v>
      </c>
      <c r="K45" s="37" t="s">
        <v>124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s="1" t="s">
        <v>171</v>
      </c>
      <c r="R45" s="8" t="s">
        <v>59</v>
      </c>
      <c r="S45" s="8" t="s">
        <v>98</v>
      </c>
      <c r="T45" s="8" t="s">
        <v>176</v>
      </c>
      <c r="U45" s="8" t="s">
        <v>59</v>
      </c>
    </row>
    <row r="46" spans="1:21" ht="15.75">
      <c r="A46" s="33" t="s">
        <v>201</v>
      </c>
      <c r="B46" t="s">
        <v>162</v>
      </c>
      <c r="C46" t="s">
        <v>309</v>
      </c>
      <c r="D46" s="28" t="str">
        <f>HYPERLINK("https://maps.app.goo.gl/FSY9JWHxk16xRpCL6 ", "Map")</f>
        <v>Map</v>
      </c>
      <c r="E46" s="45" t="s">
        <v>202</v>
      </c>
      <c r="F46" s="26" t="s">
        <v>203</v>
      </c>
      <c r="G46" s="46" t="s">
        <v>48</v>
      </c>
      <c r="H46" s="46" t="s">
        <v>48</v>
      </c>
      <c r="I46" s="46" t="s">
        <v>48</v>
      </c>
      <c r="J46" s="46" t="s">
        <v>48</v>
      </c>
      <c r="K46" s="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26</v>
      </c>
      <c r="R46" s="8" t="s">
        <v>59</v>
      </c>
      <c r="S46" s="8" t="s">
        <v>98</v>
      </c>
      <c r="T46" s="8" t="s">
        <v>59</v>
      </c>
      <c r="U46" s="8" t="s">
        <v>59</v>
      </c>
    </row>
    <row r="47" spans="1:21" ht="15.75">
      <c r="A47" s="38" t="s">
        <v>204</v>
      </c>
      <c r="B47" t="s">
        <v>162</v>
      </c>
      <c r="C47" t="s">
        <v>308</v>
      </c>
      <c r="D47" s="28" t="str">
        <f>HYPERLINK("https://maps.app.goo.gl/1bTJFB61Qrv6huCi8?g_st=it", "map")</f>
        <v>map</v>
      </c>
      <c r="E47" s="39"/>
      <c r="F47" s="26" t="s">
        <v>205</v>
      </c>
      <c r="G47" s="46" t="s">
        <v>48</v>
      </c>
      <c r="H47" s="37" t="str">
        <f>HYPERLINK("https://www.instagram.com/dubaifidel_lounge?igsh=MTY1NWpoaG02MHF0NA==", "INSTAGRAM_LINK")</f>
        <v>INSTAGRAM_LINK</v>
      </c>
      <c r="I47" s="37" t="str">
        <f>HYPERLINK("https://www.tiktok.com/@dubai.fidel.lounge", "TIKTOK_LINK")</f>
        <v>TIKTOK_LINK</v>
      </c>
      <c r="J47" s="37" t="str">
        <f>HYPERLINK("https://www.facebook.com/Fidellounge", "FACEBOOK_LINK")</f>
        <v>FACEBOOK_LINK</v>
      </c>
      <c r="K47" s="46" t="s">
        <v>48</v>
      </c>
      <c r="L47" t="s">
        <v>119</v>
      </c>
      <c r="M47" t="s">
        <v>66</v>
      </c>
      <c r="N47" t="s">
        <v>48</v>
      </c>
      <c r="O47" t="s">
        <v>48</v>
      </c>
      <c r="P47" t="s">
        <v>48</v>
      </c>
      <c r="Q47" s="1" t="str">
        <f>HYPERLINK("https://www.zomato.com/dubai/fidel-lounge-al-rigga", "Image")</f>
        <v>Image</v>
      </c>
      <c r="R47" s="8" t="s">
        <v>59</v>
      </c>
      <c r="S47" s="8" t="s">
        <v>59</v>
      </c>
      <c r="T47" s="8" t="s">
        <v>59</v>
      </c>
      <c r="U47" s="8" t="s">
        <v>59</v>
      </c>
    </row>
    <row r="48" spans="1:21">
      <c r="A48" t="s">
        <v>206</v>
      </c>
      <c r="B48" t="s">
        <v>162</v>
      </c>
      <c r="C48" t="s">
        <v>307</v>
      </c>
      <c r="D48" s="28" t="str">
        <f>HYPERLINK("https://maps.app.goo.gl/UDAqHCEMY9NL2WGNA", "map")</f>
        <v>map</v>
      </c>
      <c r="E48" s="19"/>
      <c r="F48" s="26" t="s">
        <v>207</v>
      </c>
      <c r="G48" s="46" t="s">
        <v>48</v>
      </c>
      <c r="H48" s="46" t="s">
        <v>48</v>
      </c>
      <c r="I48" s="37" t="str">
        <f>HYPERLINK("https://www.tiktok.com/@fikekurtenakitfo", "TIKTOK_LINK")</f>
        <v>TIKTOK_LINK</v>
      </c>
      <c r="J48" s="46" t="s">
        <v>48</v>
      </c>
      <c r="K48" s="47" t="str">
        <f>HYPERLINK("https://hctuae-my.sharepoint.com/:b:/r/personal/h00540244_hct_ac_ae/Documents/Fike_Kurtena_Kitfo.pdf?csf=1&amp;web=1&amp;e=aaC5O3", "Menu")</f>
        <v>Menu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s="1" t="str">
        <f>HYPERLINK("https://lh3.googleusercontent.com/gps-cs-s/APNQkAEW2nC9J33jliUvK4Gk2zAJcSH2qIAByE3f0ODRoVyHBwHsVMTWgM7sELhIvBscoM2MEr0VmlMkbPhctuP3MTGjkF4YEQNtjyS7ifUwbkg0wf49yYI2WGuQQI_nlG2m81tZtq1ki4pJKbpo=s1360-w1360-h1020-rw", "Image")</f>
        <v>Image</v>
      </c>
      <c r="R48" s="8" t="s">
        <v>59</v>
      </c>
      <c r="S48" s="8" t="s">
        <v>59</v>
      </c>
      <c r="T48" s="8" t="s">
        <v>176</v>
      </c>
      <c r="U48" s="8" t="s">
        <v>59</v>
      </c>
    </row>
    <row r="49" spans="1:21" s="8" customFormat="1" ht="15.75">
      <c r="A49" s="44" t="s">
        <v>208</v>
      </c>
      <c r="B49" s="10" t="s">
        <v>162</v>
      </c>
      <c r="C49" s="10" t="s">
        <v>306</v>
      </c>
      <c r="D49" s="28" t="str">
        <f>HYPERLINK("https://maps.app.goo.gl/vwAPEr2Gt2F3TV447 ", "map")</f>
        <v>map</v>
      </c>
      <c r="E49" s="19"/>
      <c r="F49" s="26" t="s">
        <v>209</v>
      </c>
      <c r="G49" s="46" t="s">
        <v>48</v>
      </c>
      <c r="H49" s="46" t="s">
        <v>48</v>
      </c>
      <c r="I49" s="37" t="str">
        <f>HYPERLINK("https://www.tiktok.com/@afrorestaurantdubai?is_from_webapp=1&amp;sender_device=pc", "TIKTOK_LINK")</f>
        <v>TIKTOK_LINK</v>
      </c>
      <c r="J49" s="46" t="s">
        <v>48</v>
      </c>
      <c r="K49" s="37" t="str">
        <f>HYPERLINK("https://hctuae-my.sharepoint.com/:w:/r/personal/h00540244_hct_ac_ae/Documents/Afro%20Continental%20Restaurant%20Menu.docx?d=we983b51f0d9546918e9f3a9d754c6070&amp;csf=1&amp;web=1&amp;e=VY0Otq", "Menu")</f>
        <v>Menu</v>
      </c>
      <c r="L49" s="10" t="s">
        <v>48</v>
      </c>
      <c r="M49" s="10" t="s">
        <v>48</v>
      </c>
      <c r="N49" s="10" t="s">
        <v>48</v>
      </c>
      <c r="O49" s="10" t="s">
        <v>48</v>
      </c>
      <c r="P49" s="10" t="s">
        <v>48</v>
      </c>
      <c r="Q49" s="28" t="str">
        <f>HYPERLINK("https://lh3.googleusercontent.com/gps-cs-s/APNQkAGSPccOSn-Hzcm36yJzUcDxH7nW6IX9nu9c0_LyFoSJTjGOEEoFIpxWXUsQ9iugSqU8TFXfVPFgWL6-J00lg40XrnPCR73AX9eNG7SxtmjpFCHfyEJEi7161wKBe7IiVMBNSBB6g2SSNusI=s1360-w1360-h1020-rw", "Image")</f>
        <v>Image</v>
      </c>
      <c r="R49" s="8" t="s">
        <v>59</v>
      </c>
      <c r="S49" s="8" t="s">
        <v>59</v>
      </c>
      <c r="T49" s="8" t="s">
        <v>176</v>
      </c>
      <c r="U49" s="8" t="s">
        <v>59</v>
      </c>
    </row>
    <row r="50" spans="1:21">
      <c r="A50" t="s">
        <v>210</v>
      </c>
      <c r="B50" t="s">
        <v>162</v>
      </c>
      <c r="C50" t="s">
        <v>305</v>
      </c>
      <c r="D50" s="1" t="str">
        <f>HYPERLINK("https://maps.app.goo.gl/hSXeh6F14qQuuNraA","map")</f>
        <v>map</v>
      </c>
      <c r="E50" s="19"/>
      <c r="F50" s="26" t="s">
        <v>211</v>
      </c>
      <c r="G50" s="37" t="str">
        <f>HYPERLINK("https://ethiopiangreens.netlify.app/","WEBSITE")</f>
        <v>WEBSITE</v>
      </c>
      <c r="H50" s="47" t="str">
        <f>HYPERLINK("https://www.instagram.com/ethio_green_restaurant?igsh=MThtYTlldzNtdHphbw==","INSTAGRAM_LINK")</f>
        <v>INSTAGRAM_LINK</v>
      </c>
      <c r="I50" s="37" t="str">
        <f>HYPERLINK("https://www.tiktok.com/@ethiopiangreenrestaurant?_r=1","TIKTOK_LINK")</f>
        <v>TIKTOK_LINK</v>
      </c>
      <c r="J50" s="37" t="str">
        <f>HYPERLINK("https://www.facebook.com/share/1DsW8PAawJ/?mibextid=wwXIfr","FACEBOOK_LINK")</f>
        <v>FACEBOOK_LINK</v>
      </c>
      <c r="K50" s="37" t="str">
        <f>HYPERLINK("https://ethiopiangreens.netlify.app/","Menu")</f>
        <v>Menu</v>
      </c>
      <c r="L50" s="41" t="s">
        <v>30</v>
      </c>
      <c r="M50" s="41" t="s">
        <v>48</v>
      </c>
      <c r="N50" t="s">
        <v>212</v>
      </c>
      <c r="O50" t="s">
        <v>48</v>
      </c>
      <c r="P50" t="s">
        <v>48</v>
      </c>
      <c r="Q50" s="1" t="str">
        <f>HYPERLINK("https://maps.app.goo.gl/dvBzGH9ri9VnjRMy8","Image")</f>
        <v>Image</v>
      </c>
      <c r="R50" s="8" t="s">
        <v>59</v>
      </c>
      <c r="S50" s="8" t="s">
        <v>59</v>
      </c>
      <c r="T50" s="8" t="s">
        <v>59</v>
      </c>
      <c r="U50" s="8" t="s">
        <v>59</v>
      </c>
    </row>
    <row r="51" spans="1:21">
      <c r="A51" t="s">
        <v>213</v>
      </c>
      <c r="B51" t="s">
        <v>162</v>
      </c>
      <c r="C51" t="s">
        <v>304</v>
      </c>
      <c r="D51" s="28" t="s">
        <v>23</v>
      </c>
      <c r="E51" s="19"/>
      <c r="F51" s="26" t="s">
        <v>214</v>
      </c>
      <c r="G51" s="37" t="s">
        <v>182</v>
      </c>
      <c r="H51" s="37" t="s">
        <v>6</v>
      </c>
      <c r="I51" s="37" t="s">
        <v>7</v>
      </c>
      <c r="J51" s="37" t="s">
        <v>8</v>
      </c>
      <c r="K51" s="37" t="s">
        <v>124</v>
      </c>
      <c r="L51" t="s">
        <v>183</v>
      </c>
      <c r="M51" t="s">
        <v>66</v>
      </c>
      <c r="N51" t="s">
        <v>119</v>
      </c>
      <c r="O51" t="s">
        <v>184</v>
      </c>
      <c r="P51" t="s">
        <v>185</v>
      </c>
      <c r="Q51" t="s">
        <v>215</v>
      </c>
      <c r="R51" s="8" t="s">
        <v>59</v>
      </c>
      <c r="S51" s="8" t="s">
        <v>98</v>
      </c>
      <c r="T51" s="8" t="s">
        <v>59</v>
      </c>
      <c r="U51" s="8" t="s">
        <v>59</v>
      </c>
    </row>
    <row r="52" spans="1:21" ht="15.75">
      <c r="A52" s="43" t="s">
        <v>216</v>
      </c>
      <c r="B52" t="s">
        <v>162</v>
      </c>
      <c r="C52" t="s">
        <v>303</v>
      </c>
      <c r="D52" s="1" t="str">
        <f>HYPERLINK("https://maps.app.goo.gl/oBF32n3w9srLJfHY6","map")</f>
        <v>map</v>
      </c>
      <c r="E52" s="19"/>
      <c r="F52" s="26" t="s">
        <v>217</v>
      </c>
      <c r="G52" s="47" t="str">
        <f>HYPERLINK("https://www.alhabasharestaurant.com/food-menu/","WEBSITE")</f>
        <v>WEBSITE</v>
      </c>
      <c r="H52" s="37" t="str">
        <f>HYPERLINK("https://www.instagram.com/alhabasharestraurant","INSTAGRAM_LINK")</f>
        <v>INSTAGRAM_LINK</v>
      </c>
      <c r="I52" s="46" t="s">
        <v>48</v>
      </c>
      <c r="J52" s="37" t="str">
        <f>HYPERLINK("https://www.facebook.com/share/1FzuHTCXBe/?mibextid=wwXIfr","FACEBOOK_LINK")</f>
        <v>FACEBOOK_LINK</v>
      </c>
      <c r="K52" s="1" t="str">
        <f>HYPERLINK("https://www.alhabasharestaurant.com/food-menu/","Menu")</f>
        <v>Menu</v>
      </c>
      <c r="L52" t="s">
        <v>48</v>
      </c>
      <c r="M52" t="s">
        <v>48</v>
      </c>
      <c r="N52" t="s">
        <v>48</v>
      </c>
      <c r="O52" t="s">
        <v>48</v>
      </c>
      <c r="P52" t="s">
        <v>48</v>
      </c>
      <c r="R52" s="8" t="s">
        <v>59</v>
      </c>
      <c r="S52" s="8" t="s">
        <v>59</v>
      </c>
      <c r="T52" s="8" t="s">
        <v>59</v>
      </c>
      <c r="U52" s="8" t="s">
        <v>59</v>
      </c>
    </row>
    <row r="53" spans="1:21">
      <c r="A53" t="s">
        <v>218</v>
      </c>
      <c r="B53" t="s">
        <v>162</v>
      </c>
      <c r="C53" t="s">
        <v>302</v>
      </c>
      <c r="D53" s="28" t="str">
        <f>HYPERLINK("https://maps.app.goo.gl/KHSCPKGmtn3ZYLmr7 ", "map")</f>
        <v>map</v>
      </c>
      <c r="E53" s="19"/>
      <c r="F53" s="26" t="str">
        <f>HYPERLINK("tel:045930037", "Call")</f>
        <v>Call</v>
      </c>
      <c r="G53" s="46" t="s">
        <v>48</v>
      </c>
      <c r="H53" s="46" t="s">
        <v>48</v>
      </c>
      <c r="I53" s="46" t="s">
        <v>48</v>
      </c>
      <c r="J53" s="37" t="str">
        <f>HYPERLINK("https://www.facebook.com/profile.php?id=100064628511462", "FACEBOOK_LINK")</f>
        <v>FACEBOOK_LINK</v>
      </c>
      <c r="K53" s="37" t="str">
        <f>HYPERLINK("https://hctuae-my.sharepoint.com/:b:/r/personal/h00540244_hct_ac_ae/Documents/Sahel%20Al%20Dahab%20Cafe%20%26%20Restaurant.pdf?csf=1&amp;web=1&amp;e=sgpFes", "Menu")</f>
        <v>Menu</v>
      </c>
      <c r="L53" t="s">
        <v>48</v>
      </c>
      <c r="M53" t="s">
        <v>48</v>
      </c>
      <c r="N53" t="s">
        <v>48</v>
      </c>
      <c r="O53" t="s">
        <v>48</v>
      </c>
      <c r="P53" t="s">
        <v>48</v>
      </c>
      <c r="Q53" s="1" t="str">
        <f>HYPERLINK("https://lh3.googleusercontent.com/gps-cs-s/APNQkAFTpoG1if6-O2U8YAi-wZDwVd53l9wUNf8oYnRP0EH-XLS0bUbyJOcKdOEybE_LvA8nMDxdbbunPYT1PnLBxfA3rv7L2rQjAuDshkXscMJi6BvuKrf2On9-9NJ2DMKM1H0ijI6S=s1360-w1360-h1020-rw", "Image")</f>
        <v>Image</v>
      </c>
      <c r="R53" s="8" t="s">
        <v>59</v>
      </c>
      <c r="S53" s="8" t="s">
        <v>59</v>
      </c>
      <c r="T53" s="8" t="s">
        <v>59</v>
      </c>
      <c r="U53" s="8" t="s">
        <v>59</v>
      </c>
    </row>
    <row r="54" spans="1:21">
      <c r="A54" t="s">
        <v>219</v>
      </c>
      <c r="B54" t="s">
        <v>162</v>
      </c>
      <c r="C54" t="s">
        <v>301</v>
      </c>
      <c r="D54" s="28" t="s">
        <v>23</v>
      </c>
      <c r="E54" s="19"/>
      <c r="F54" s="26" t="s">
        <v>220</v>
      </c>
      <c r="G54" s="8" t="s">
        <v>48</v>
      </c>
      <c r="H54" s="26" t="s">
        <v>6</v>
      </c>
      <c r="I54" s="26" t="s">
        <v>7</v>
      </c>
      <c r="J54" s="26" t="s">
        <v>8</v>
      </c>
      <c r="K54" s="26" t="s">
        <v>124</v>
      </c>
      <c r="L54" t="s">
        <v>48</v>
      </c>
      <c r="M54" t="s">
        <v>26</v>
      </c>
      <c r="N54" t="s">
        <v>26</v>
      </c>
      <c r="O54" t="s">
        <v>48</v>
      </c>
      <c r="P54" t="s">
        <v>48</v>
      </c>
      <c r="Q54" t="s">
        <v>221</v>
      </c>
      <c r="R54" s="8" t="s">
        <v>59</v>
      </c>
      <c r="S54" s="8" t="s">
        <v>59</v>
      </c>
      <c r="T54" s="8" t="s">
        <v>59</v>
      </c>
      <c r="U54" s="8" t="s">
        <v>59</v>
      </c>
    </row>
    <row r="55" spans="1:21" ht="15.75">
      <c r="A55" s="48" t="s">
        <v>222</v>
      </c>
      <c r="B55" t="s">
        <v>162</v>
      </c>
      <c r="C55" t="s">
        <v>300</v>
      </c>
      <c r="D55" s="1" t="str">
        <f>HYPERLINK("https://maps.app.goo.gl/jfG1ysz5mDJTeeot9","map")</f>
        <v>map</v>
      </c>
      <c r="E55" s="19"/>
      <c r="F55" s="1" t="s">
        <v>223</v>
      </c>
      <c r="G55" s="49" t="str">
        <f>HYPERLINK("https://mesobrestaurantdubai.com/?utm_source=ig&amp;utm_medium=social&amp;utm_content=link_in_bio&amp;fbclid=PAb21jcAST93lleHRuA2FlbQIxMQBzcnRjBmFwcF9pZA81NjcwNjczNDMzNTI0MjcAAaepk2bxL-yzI4FpOVBrUVxw5YLt4Zxg5SdnDtU_yswGAHPV4JJWamNrcx221Q_aem_FmuMNtsbiQYsQ8pnTtzhWA","WEBSITE")</f>
        <v>WEBSITE</v>
      </c>
      <c r="H55" s="1" t="str">
        <f>HYPERLINK("https://www.instagram.com/cucinamesob?igsh=eGwzY3VtaHBwN3Nn","INSTAGRAM_LINK")</f>
        <v>INSTAGRAM_LINK</v>
      </c>
      <c r="I55" s="1" t="str">
        <f>HYPERLINK("https://www.tiktok.com/@cucinmesob?_r=1&amp;_t=ZS-97NNCuD96KT","TIKTOK_LINK")</f>
        <v>TIKTOK_LINK</v>
      </c>
      <c r="J55" s="1" t="str">
        <f>HYPERLINK("https://www.facebook.com/share/18wHVYpLk4/?mibextid=wwXIfr","FACEBOOK_LINK")</f>
        <v>FACEBOOK_LINK</v>
      </c>
      <c r="K55" s="49" t="str">
        <f>HYPERLINK("https://mesobrestaurantdubai.com/?utm_source=ig&amp;utm_medium=social&amp;utm_content=link_in_bio&amp;fbclid=PAb21jcAST93lleHRuA2FlbQIxMQBzcnRjBmFwcF9pZA81NjcwNjczNDMzNTI0MjcAAaepk2bxL-yzI4FpOVBrUVxw5YLt4Zxg5SdnDtU_yswGAHPV4JJWamNrcx221Q_aem_FmuMNtsbiQYsQ8pnTtzhWA","Menu")</f>
        <v>Menu</v>
      </c>
      <c r="L55" t="s">
        <v>66</v>
      </c>
      <c r="M55" t="s">
        <v>196</v>
      </c>
      <c r="N55" t="s">
        <v>183</v>
      </c>
      <c r="O55" t="s">
        <v>212</v>
      </c>
      <c r="P55" t="s">
        <v>224</v>
      </c>
      <c r="Q55" s="1" t="str">
        <f>HYPERLINK("https://maps.app.goo.gl/Bvyx6K86TjbUGteFA","Image")</f>
        <v>Image</v>
      </c>
      <c r="R55" s="8" t="s">
        <v>59</v>
      </c>
      <c r="S55" s="8" t="s">
        <v>59</v>
      </c>
      <c r="T55" s="8" t="s">
        <v>59</v>
      </c>
      <c r="U55" s="8" t="s">
        <v>59</v>
      </c>
    </row>
    <row r="56" spans="1:21" ht="15.75">
      <c r="A56" s="48" t="s">
        <v>225</v>
      </c>
      <c r="B56" t="s">
        <v>162</v>
      </c>
      <c r="C56" t="s">
        <v>299</v>
      </c>
      <c r="D56" s="1" t="str">
        <f>HYPERLINK("https://maps.app.goo.gl/wYppLE1zUuCRUXrx6","map")</f>
        <v>map</v>
      </c>
      <c r="F56" s="1" t="s">
        <v>226</v>
      </c>
      <c r="G56" s="1" t="str">
        <f>HYPERLINK("https://www.beteseb.ae/","WEBSITE")</f>
        <v>WEBSITE</v>
      </c>
      <c r="H56" s="49" t="str">
        <f>HYPERLINK("https://www.instagram.com/betesebrestaurantdubai?utm_source=ig_web_button_share_sheet&amp;igsh=ZDNlZDc0MzIxNw==","INSTAGRAM_LINK")</f>
        <v>INSTAGRAM_LINK</v>
      </c>
      <c r="I56" s="1" t="str">
        <f>HYPERLINK("https://www.tiktok.com/@beteseb19?_r=1&amp;_t=ZS-97NP3y2scke","TIKTOK_LINK")</f>
        <v>TIKTOK_LINK</v>
      </c>
      <c r="J56" s="1" t="str">
        <f>HYPERLINK("https://www.facebook.com/share/193Ej15fne/?mibextid=wwXIfr","FACEBOOK_LINK")</f>
        <v>FACEBOOK_LINK</v>
      </c>
      <c r="K56" s="1" t="str">
        <f>HYPERLINK("https://www.beteseb.ae/","Menu")</f>
        <v>Menu</v>
      </c>
      <c r="L56" t="s">
        <v>48</v>
      </c>
      <c r="M56" t="s">
        <v>48</v>
      </c>
      <c r="N56" t="s">
        <v>48</v>
      </c>
      <c r="O56" t="s">
        <v>48</v>
      </c>
      <c r="P56" t="s">
        <v>48</v>
      </c>
      <c r="R56" s="8" t="s">
        <v>59</v>
      </c>
      <c r="S56" s="8" t="s">
        <v>59</v>
      </c>
      <c r="T56" s="8" t="s">
        <v>59</v>
      </c>
      <c r="U56" s="8" t="s">
        <v>59</v>
      </c>
    </row>
    <row r="57" spans="1:21">
      <c r="A57" t="s">
        <v>227</v>
      </c>
      <c r="B57" t="s">
        <v>162</v>
      </c>
      <c r="C57" t="s">
        <v>298</v>
      </c>
      <c r="D57" s="1" t="str">
        <f>HYPERLINK("https://maps.app.goo.gl/UKwXwDasnRnpzR1j6","map")</f>
        <v>map</v>
      </c>
      <c r="F57" s="1" t="s">
        <v>228</v>
      </c>
      <c r="G57" t="s">
        <v>48</v>
      </c>
      <c r="H57" s="1" t="str">
        <f>HYPERLINK("https://www.instagram.com/zagol__restaurant","INSTAGRAM_LINK")</f>
        <v>INSTAGRAM_LINK</v>
      </c>
      <c r="I57" s="1" t="str">
        <f>HYPERLINK("https://www.tiktok.com/@zagol.dubai?_r=1&amp;_t=ZS-97NRcA08hC0","TIKTOK_LINK")</f>
        <v>TIKTOK_LINK</v>
      </c>
      <c r="J57" s="1" t="str">
        <f>HYPERLINK("https://www.facebook.com/share/1T1LhVFZ5y/?mibextid=wwXIfr","FACEBOOK_LINK")</f>
        <v>FACEBOOK_LINK</v>
      </c>
      <c r="K57" s="1" t="str">
        <f>HYPERLINK("https://drive.google.com/drive/folders/1SZUEONCwBA_-S7-dPqbtMHESAigy-RBx?usp=sharing","Menu")</f>
        <v>Menu</v>
      </c>
      <c r="L57" t="s">
        <v>30</v>
      </c>
      <c r="M57" t="s">
        <v>48</v>
      </c>
      <c r="N57" t="s">
        <v>48</v>
      </c>
      <c r="O57" t="s">
        <v>48</v>
      </c>
      <c r="P57" t="s">
        <v>48</v>
      </c>
      <c r="Q57" s="1" t="str">
        <f>HYPERLINK("https://maps.app.goo.gl/nz9q7D8CoY2aqBF87","Image")</f>
        <v>Image</v>
      </c>
      <c r="R57" s="8" t="s">
        <v>59</v>
      </c>
      <c r="S57" s="8" t="s">
        <v>59</v>
      </c>
      <c r="T57" s="8" t="s">
        <v>59</v>
      </c>
      <c r="U57" s="8" t="s">
        <v>59</v>
      </c>
    </row>
    <row r="58" spans="1:21" ht="15.75">
      <c r="A58" s="33" t="s">
        <v>229</v>
      </c>
      <c r="B58" t="s">
        <v>162</v>
      </c>
      <c r="C58" t="s">
        <v>297</v>
      </c>
      <c r="D58" s="28" t="s">
        <v>93</v>
      </c>
      <c r="E58" s="48" t="s">
        <v>230</v>
      </c>
      <c r="F58" s="1" t="s">
        <v>231</v>
      </c>
      <c r="G58" t="s">
        <v>232</v>
      </c>
      <c r="H58" s="1" t="s">
        <v>233</v>
      </c>
      <c r="I58" s="1" t="s">
        <v>234</v>
      </c>
      <c r="J58" s="1" t="s">
        <v>235</v>
      </c>
      <c r="K58" s="1" t="s">
        <v>124</v>
      </c>
      <c r="L58" t="s">
        <v>30</v>
      </c>
      <c r="M58" t="s">
        <v>236</v>
      </c>
      <c r="N58" t="s">
        <v>48</v>
      </c>
      <c r="O58" t="s">
        <v>48</v>
      </c>
      <c r="P58" t="s">
        <v>48</v>
      </c>
      <c r="Q58" s="1" t="s">
        <v>125</v>
      </c>
      <c r="R58" t="s">
        <v>237</v>
      </c>
      <c r="S58" t="s">
        <v>98</v>
      </c>
      <c r="T58" t="s">
        <v>237</v>
      </c>
      <c r="U58" t="s">
        <v>237</v>
      </c>
    </row>
    <row r="59" spans="1:21" ht="15.75">
      <c r="A59" s="53" t="s">
        <v>238</v>
      </c>
      <c r="B59" t="s">
        <v>162</v>
      </c>
      <c r="C59" t="s">
        <v>296</v>
      </c>
      <c r="D59" s="28" t="s">
        <v>93</v>
      </c>
      <c r="E59" s="33" t="s">
        <v>239</v>
      </c>
      <c r="F59" s="1" t="s">
        <v>240</v>
      </c>
      <c r="G59" t="s">
        <v>232</v>
      </c>
      <c r="H59" s="1" t="s">
        <v>233</v>
      </c>
      <c r="I59" s="1" t="s">
        <v>234</v>
      </c>
      <c r="J59" s="1" t="s">
        <v>241</v>
      </c>
      <c r="L59" t="s">
        <v>30</v>
      </c>
      <c r="M59" t="s">
        <v>232</v>
      </c>
      <c r="N59" t="s">
        <v>232</v>
      </c>
      <c r="O59" t="s">
        <v>232</v>
      </c>
      <c r="P59" t="s">
        <v>232</v>
      </c>
      <c r="Q59" s="1" t="s">
        <v>125</v>
      </c>
      <c r="R59" t="s">
        <v>237</v>
      </c>
      <c r="S59" t="s">
        <v>98</v>
      </c>
      <c r="T59" t="s">
        <v>237</v>
      </c>
      <c r="U59" t="s">
        <v>237</v>
      </c>
    </row>
    <row r="60" spans="1:21" ht="15.75">
      <c r="A60" s="53" t="s">
        <v>242</v>
      </c>
      <c r="B60" t="s">
        <v>162</v>
      </c>
      <c r="C60" t="s">
        <v>295</v>
      </c>
      <c r="D60" s="28" t="s">
        <v>23</v>
      </c>
      <c r="E60" s="33" t="s">
        <v>243</v>
      </c>
      <c r="F60" s="1" t="s">
        <v>244</v>
      </c>
      <c r="G60" t="s">
        <v>232</v>
      </c>
      <c r="H60" s="1" t="s">
        <v>233</v>
      </c>
      <c r="I60" s="1" t="s">
        <v>245</v>
      </c>
      <c r="J60" s="1" t="s">
        <v>241</v>
      </c>
      <c r="L60" t="s">
        <v>30</v>
      </c>
      <c r="M60" t="s">
        <v>232</v>
      </c>
      <c r="N60" t="s">
        <v>232</v>
      </c>
      <c r="O60" t="s">
        <v>232</v>
      </c>
      <c r="P60" t="s">
        <v>232</v>
      </c>
      <c r="Q60" s="1" t="s">
        <v>125</v>
      </c>
      <c r="R60" t="s">
        <v>237</v>
      </c>
      <c r="S60" t="s">
        <v>98</v>
      </c>
      <c r="T60" t="s">
        <v>237</v>
      </c>
      <c r="U60" t="s">
        <v>237</v>
      </c>
    </row>
    <row r="61" spans="1:21" ht="15.75">
      <c r="A61" s="52" t="s">
        <v>246</v>
      </c>
      <c r="B61" t="s">
        <v>162</v>
      </c>
      <c r="C61" t="s">
        <v>294</v>
      </c>
      <c r="D61" s="28" t="s">
        <v>23</v>
      </c>
      <c r="E61" s="33" t="s">
        <v>247</v>
      </c>
      <c r="F61" s="1" t="s">
        <v>248</v>
      </c>
      <c r="G61" s="1" t="s">
        <v>182</v>
      </c>
      <c r="H61" s="1" t="s">
        <v>233</v>
      </c>
      <c r="I61" s="1" t="s">
        <v>245</v>
      </c>
      <c r="J61" s="1" t="s">
        <v>241</v>
      </c>
      <c r="K61" s="1" t="s">
        <v>124</v>
      </c>
      <c r="L61" t="s">
        <v>30</v>
      </c>
      <c r="M61" t="s">
        <v>119</v>
      </c>
      <c r="N61" t="s">
        <v>232</v>
      </c>
      <c r="O61" t="s">
        <v>232</v>
      </c>
      <c r="P61" t="s">
        <v>232</v>
      </c>
      <c r="Q61" s="1" t="s">
        <v>125</v>
      </c>
      <c r="R61" t="s">
        <v>237</v>
      </c>
      <c r="S61" t="s">
        <v>98</v>
      </c>
      <c r="T61" t="s">
        <v>237</v>
      </c>
      <c r="U61" t="s">
        <v>237</v>
      </c>
    </row>
    <row r="62" spans="1:21" ht="15.75">
      <c r="A62" s="33" t="s">
        <v>249</v>
      </c>
      <c r="B62" t="s">
        <v>162</v>
      </c>
      <c r="C62" t="s">
        <v>293</v>
      </c>
      <c r="D62" s="28" t="s">
        <v>23</v>
      </c>
      <c r="E62" s="33" t="s">
        <v>250</v>
      </c>
      <c r="F62" s="1" t="s">
        <v>251</v>
      </c>
      <c r="G62" t="s">
        <v>232</v>
      </c>
      <c r="H62" s="1" t="s">
        <v>252</v>
      </c>
      <c r="I62" s="1" t="s">
        <v>234</v>
      </c>
      <c r="J62" s="1" t="s">
        <v>235</v>
      </c>
      <c r="K62" s="1" t="s">
        <v>124</v>
      </c>
      <c r="L62" t="s">
        <v>30</v>
      </c>
      <c r="M62" t="s">
        <v>119</v>
      </c>
      <c r="N62" t="s">
        <v>232</v>
      </c>
      <c r="O62" t="s">
        <v>232</v>
      </c>
      <c r="P62" t="s">
        <v>232</v>
      </c>
      <c r="Q62" s="1" t="s">
        <v>125</v>
      </c>
      <c r="R62" t="s">
        <v>237</v>
      </c>
      <c r="S62" t="s">
        <v>98</v>
      </c>
      <c r="T62" t="s">
        <v>176</v>
      </c>
      <c r="U62" t="s">
        <v>237</v>
      </c>
    </row>
  </sheetData>
  <hyperlinks>
    <hyperlink ref="D2" r:id="rId1" xr:uid="{34445773-A8E5-4430-8813-8EAADEAC12EA}"/>
    <hyperlink ref="D5" r:id="rId2" xr:uid="{FBA7ABDF-05B3-491D-992F-477AD957F403}"/>
    <hyperlink ref="D8" r:id="rId3" xr:uid="{2D777EF9-D4FC-4C5C-BF1D-336E58B8B7E8}"/>
    <hyperlink ref="D3" r:id="rId4" xr:uid="{E85E23E0-4F69-4ADA-89AA-E72B82707BB4}"/>
    <hyperlink ref="D4" r:id="rId5" xr:uid="{1DC2B0B3-2F73-4D07-BE06-124C56FB3C3E}"/>
    <hyperlink ref="D6" r:id="rId6" xr:uid="{A58657BC-5054-48AC-A16C-83BF48EF6D8B}"/>
    <hyperlink ref="D12" r:id="rId7" xr:uid="{3C6ECA8A-C583-455B-986B-5A1B632C6F4F}"/>
    <hyperlink ref="D17" r:id="rId8" xr:uid="{CC8F2274-4535-46AE-88E5-B83526A5131E}"/>
    <hyperlink ref="D13" r:id="rId9" xr:uid="{7D0BF9F7-424E-4364-A8AE-F13A15B0D39B}"/>
    <hyperlink ref="D7" r:id="rId10" xr:uid="{70477CB1-0E70-4FE9-A6AB-11E2BEAE3E32}"/>
    <hyperlink ref="D9" r:id="rId11" xr:uid="{06CD4E43-AD67-4223-AB0C-D5A348DF8513}"/>
    <hyperlink ref="D16" r:id="rId12" xr:uid="{B065B302-6BC0-4013-8030-93EE8EA0864C}"/>
    <hyperlink ref="K4" r:id="rId13" xr:uid="{177E54B7-355D-4438-8D5E-A329A702C65A}"/>
    <hyperlink ref="K3" r:id="rId14" xr:uid="{C3410E2A-AAB6-4245-AB86-678CF77F4771}"/>
    <hyperlink ref="K16" r:id="rId15" xr:uid="{827874A4-598C-46A0-A6F4-CE0A53C1DA26}"/>
    <hyperlink ref="K2" r:id="rId16" xr:uid="{5CF263F1-DB46-48EB-9604-B36CDD9373D4}"/>
    <hyperlink ref="K7" r:id="rId17" xr:uid="{556918F4-07B8-4183-9E9C-8447A97AA454}"/>
    <hyperlink ref="K9" r:id="rId18" xr:uid="{FD7E7D6B-8610-4868-9FEC-7BEB9BB8A55E}"/>
    <hyperlink ref="K15" r:id="rId19" xr:uid="{E7289679-F832-44A7-B88B-7BCDC48CFB47}"/>
    <hyperlink ref="K5" r:id="rId20" xr:uid="{5048BEF6-904E-4EAB-B715-9CA103CAE1F7}"/>
    <hyperlink ref="K8" r:id="rId21" xr:uid="{367AE662-7F7F-41AF-BC98-8A18D49CEAE3}"/>
    <hyperlink ref="K17" r:id="rId22" xr:uid="{D72CF58B-7A92-40FE-8700-9EB4F3EF1021}"/>
    <hyperlink ref="K6" r:id="rId23" xr:uid="{1E9B15BE-3AA2-4B95-86A5-B99AB87BA512}"/>
    <hyperlink ref="K10" r:id="rId24" xr:uid="{C65734F5-8236-4BD2-A3F1-A9E789FF01AA}"/>
    <hyperlink ref="Q5" r:id="rId25" xr:uid="{885F9EF9-44DB-4C11-9BDF-0EDACAA899F5}"/>
    <hyperlink ref="D18" r:id="rId26" xr:uid="{EA6A5B1B-519D-4292-BDF7-AC233210D1B2}"/>
    <hyperlink ref="D20" r:id="rId27" xr:uid="{FEF526F5-2C66-4C82-B36A-57A6F6D578BC}"/>
    <hyperlink ref="D21" r:id="rId28" xr:uid="{1CC2EF4F-ACC5-400F-9223-D994F4784325}"/>
    <hyperlink ref="D22" r:id="rId29" xr:uid="{A40C9FF5-683B-40DD-80CD-C49F099901F0}"/>
    <hyperlink ref="D23" r:id="rId30" display="https://maps.app.goo.gl/tHMnwqaqAJMkxGWC8" xr:uid="{78BE0BF7-B1CE-4637-9969-0FA783698867}"/>
    <hyperlink ref="D24" r:id="rId31" display="https://maps.app.goo.gl/s7G649ewcPki39Bp6" xr:uid="{772F5502-E191-4504-B374-8271B92E3AF6}"/>
    <hyperlink ref="D25" r:id="rId32" display="https://www.google.com/maps?q=89CM%2B4J9+-+Al+Majaz+2+-+Al+Majaz+-+Sharjah+-+United+Arab+Emirates+%2C+Sharjah%2C+United+Arab+Emirates" xr:uid="{CBA9B969-166B-48DE-A8CE-7B40061FA0BB}"/>
    <hyperlink ref="D26" r:id="rId33" display="https://share.google/nPNSjH88sFjPgFten" xr:uid="{6E0CF986-DECA-4127-8E7D-612A854AE4B9}"/>
    <hyperlink ref="D27" r:id="rId34" display="https://www.google.com/maps?q=Al+Baraqa+2+Building%2COmar+Bin+Al+Khathab+Road%2CAl+Nakhil+-+Ajman+-+United+Arab+Emirates+%2C+Ajman%2C+United+Arab+Emirates" xr:uid="{ABDF95EC-6BFA-451F-8AA9-E490C7F75DE3}"/>
    <hyperlink ref="D28" r:id="rId35" display="https://share.google/dZAmMrtOUTdMdc637" xr:uid="{3282FB21-B9D6-4A5D-951D-FD7D2632D18C}"/>
    <hyperlink ref="D29" r:id="rId36" display="https://share.google/qlC8VszRMVG8sicmd" xr:uid="{FA0F8AA8-F91A-4E3B-B3C0-0415FDCF2B0F}"/>
    <hyperlink ref="D30" r:id="rId37" display="https://share.google/bfN3dOyYHobjXjmR0" xr:uid="{91734D9B-887A-474F-A743-C396FDA60D7F}"/>
    <hyperlink ref="D31" r:id="rId38" display="https://share.google/lU4rMIcsCTrLHLfSD" xr:uid="{DD75E1EF-5F63-41D8-B7C9-3B1FDDBCBD8D}"/>
    <hyperlink ref="D32" r:id="rId39" display="https://maps.app.goo.gl/D2roAPpWvmiHxrjc7" xr:uid="{B3B5605C-20A8-4C9A-B9BD-8D5BF9A51F68}"/>
    <hyperlink ref="F18" r:id="rId40" xr:uid="{0099ACA6-6299-48C6-BF60-108649DADE0D}"/>
    <hyperlink ref="F19" r:id="rId41" xr:uid="{B400C220-AAFF-45A9-9F90-4AA9F2E2E1D8}"/>
    <hyperlink ref="F20" r:id="rId42" xr:uid="{6EA48B73-DD34-4476-B0C1-F7A971281421}"/>
    <hyperlink ref="F21" r:id="rId43" xr:uid="{A7518AF1-AF3C-46E8-B121-080A14E7F7FE}"/>
    <hyperlink ref="F22" r:id="rId44" xr:uid="{6A0D9521-F26D-4488-8607-32781C8605C8}"/>
    <hyperlink ref="F23" r:id="rId45" xr:uid="{C3A0539A-F384-49A0-896F-D624490AE734}"/>
    <hyperlink ref="F25" r:id="rId46" xr:uid="{978C3293-EF14-49C0-AF56-9D926E4E5093}"/>
    <hyperlink ref="F26" r:id="rId47" xr:uid="{D06F0C8C-356B-454F-9CBA-DD7FF02F8A76}"/>
    <hyperlink ref="F27" r:id="rId48" xr:uid="{FA1B7589-4CED-44F9-9C28-A648CE7199F7}"/>
    <hyperlink ref="F28" r:id="rId49" xr:uid="{27765E5C-3EBC-4FC6-92BF-E7A39B961856}"/>
    <hyperlink ref="F29" r:id="rId50" xr:uid="{10A99A7E-7029-481D-A857-59DBB8DDA051}"/>
    <hyperlink ref="F30" r:id="rId51" xr:uid="{8589A834-3A30-40B6-8D67-721A30EDF886}"/>
    <hyperlink ref="F31" r:id="rId52" xr:uid="{D33B8187-D308-4085-99DA-C62A5F7FB60D}"/>
    <hyperlink ref="F32" r:id="rId53" xr:uid="{E69BDA99-74D8-4B4E-B026-C796C3222EE5}"/>
    <hyperlink ref="H22" r:id="rId54" display="https://www.instagram.com/ermi_cafe?utm_source=ig_web_button_share_sheet&amp;igsh=ZDNlZDc0MzIxNw==" xr:uid="{E2CD9A7E-626B-438D-A922-C42158071AC2}"/>
    <hyperlink ref="K18" r:id="rId55" xr:uid="{2B06A81E-9D5A-4358-A6D0-6350163B03B7}"/>
    <hyperlink ref="K19" r:id="rId56" xr:uid="{0C656082-8A7A-4BF4-BCF2-A96F377AFBCD}"/>
    <hyperlink ref="K20" r:id="rId57" xr:uid="{614C3492-462E-4B7B-ADA0-93430C1D4DA8}"/>
    <hyperlink ref="K22" r:id="rId58" xr:uid="{6C81F756-AD2D-4007-9B15-6D5BCB7FC198}"/>
    <hyperlink ref="K26" r:id="rId59" xr:uid="{6E997938-ACAF-4F72-BC49-267FD2F519C9}"/>
    <hyperlink ref="I18" r:id="rId60" display="https://www.tiktok.com/@kidestkitfo?is_from_webapp=1&amp;sender_device=pc" xr:uid="{89480A42-A264-4D3E-A849-F3142E314306}"/>
    <hyperlink ref="I19" r:id="rId61" display="https://www.tiktok.com/@addisabebaresturant55?is_from_webapp=1&amp;sender_device=pc" xr:uid="{8E4927DA-09AA-48EA-96F2-AF3E55511CAB}"/>
    <hyperlink ref="I23" r:id="rId62" display="https://www.tiktok.com/@rahmarestaurant1" xr:uid="{7ACF890B-2436-44E1-AE8A-782C505638C0}"/>
    <hyperlink ref="I32" r:id="rId63" display="https://www.tiktok.com/@najrancafeteria" xr:uid="{4BBE1782-ACBF-41DA-B099-5DA701BEF417}"/>
    <hyperlink ref="Q18" r:id="rId64" display="https://ethiopiandining.com/wp-content/uploads/2025/07/KIDIST-LEYU-KITFO-%E1%89%85%E1%8B%B5%E1%88%B5%E1%89%B5-%E1%88%8D%E1%8B%A9-%E1%8A%AD%E1%89%B5%E1%8D%8E-%E1%89%A4%E1%89%B5-Sharjah-United-Arab-Emirates-959.jpg" xr:uid="{5DD33033-68A6-4FDC-A43E-3B685F4EEBE3}"/>
    <hyperlink ref="Q19" r:id="rId65" display="https://ethiopiandining.com/wp-content/uploads/2025/07/Addis-Ababa-City-Restaurant-Sharjah-United-Arab-Emirates-539.jpg" xr:uid="{DD8090B8-D84A-4960-9A38-BF1F1BCD7D46}"/>
    <hyperlink ref="Q20" r:id="rId66" display="https://ethiopiandining.com/wp-content/uploads/2025/07/Addis-ababa-caff-Res-%E1%8A%A2%E1%89%B5%E1%8B%AC-%E1%88%AC%E1%88%B5%E1%89%B6%E1%88%AB%E1%8A%95%E1%89%B5-Sharjah-United-Arab-Emirates-956.jpg" xr:uid="{00605575-0723-4ECD-BA3D-E75A9FED98AB}"/>
    <hyperlink ref="Q21" r:id="rId67" display="https://lh3.googleusercontent.com/gps-cs-s/APNQkAFWHUfiu3JLNhLBbWeBHOid_S9-FQPbqyVl5tEC78HDfZ2nACTm2HBd0vrT4H-iccp0l6ySqrxDZeJIBKzRIVMYWmGo59G07fG9_DERzXU0D4edioDUGh170V7vwHTJWBx7m2sTJiUHHZf_=s1360-w1360-h1020-rw" xr:uid="{03D366A5-C258-46C1-8B13-3061699AF5BB}"/>
    <hyperlink ref="Q26" r:id="rId68" display="https://lh3.googleusercontent.com/gps-cs-s/APNQkAGQmTwK8S8h0D2gWkkCUeAu5ug0karDUyZiEYtayKiS_1AdCdvuMXEdZrziaOiIWcjS1W4eQ_nHRXTAnhu0B9KOsrZnbgXwbuxjzpGipxVCRo_uYODPzwkt8BQ-GkViGI_MR1Z71kzCpjx5=w289-h312-n-k-no" xr:uid="{DA65562D-D876-4F2E-AA15-F532BE2DDC94}"/>
    <hyperlink ref="G5" r:id="rId69" xr:uid="{595890D4-936F-40E4-B162-A37FCC5A9253}"/>
    <hyperlink ref="H2" r:id="rId70" display="https://www.instagram.com/bonna_annee_restaurant?igsh=dnZ1ZmczaTBhN3k1" xr:uid="{B1518C2C-46B8-433D-8FD7-B5A6C66677ED}"/>
    <hyperlink ref="J4" r:id="rId71" display="https://www.facebook.com/share/1V8JtemN6L/?mibextid=wwXIfr" xr:uid="{34EDB10B-F50B-4478-83C2-4FBEC0770FA5}"/>
    <hyperlink ref="J5" r:id="rId72" display="face book" xr:uid="{16CBF827-0EA2-40CB-9CF5-5773D3248B2D}"/>
    <hyperlink ref="I5" r:id="rId73" display="https://www.tiktok.com/@kitforestaurant?_r=1&amp;_t=ZS-97EMibdAbb6" xr:uid="{1C5936EF-E0C7-44AE-B22D-324627466A00}"/>
    <hyperlink ref="J7" r:id="rId74" display="https://www.facebook.com/alhabsharestaurantabudhabi/" xr:uid="{FCCD4E59-9178-4DA9-BDBC-2EF518D0990A}"/>
    <hyperlink ref="J10" r:id="rId75" display="https://www.facebook.com/Mouthwateringcuisine/" xr:uid="{0A25E99E-16B1-4174-9482-5F91F8358ED3}"/>
    <hyperlink ref="I15" r:id="rId76" display="https://www.tiktok.com/@bab.alhabesha.rest" xr:uid="{57971447-65B6-4558-A258-4BEBCBF87741}"/>
    <hyperlink ref="D19" r:id="rId77" xr:uid="{D199DEE1-5589-48F6-92CD-44B8FE24D4ED}"/>
    <hyperlink ref="J2" r:id="rId78" display="https://www.facebook.com/share/1J4RH5T3CM/" xr:uid="{FCB78550-63EF-4F49-A147-932236752DB5}"/>
    <hyperlink ref="D34" r:id="rId79" xr:uid="{860173D4-CBA6-4C97-93A5-D2EB511EE370}"/>
    <hyperlink ref="F34" r:id="rId80" xr:uid="{C64291AC-4155-4878-893D-82DCF9609A63}"/>
    <hyperlink ref="Q34" r:id="rId81" xr:uid="{94B12216-58E3-4FC2-A7A2-D2B7815D4835}"/>
    <hyperlink ref="K34" r:id="rId82" xr:uid="{BBE62417-DF99-4762-B682-8851B1068C04}"/>
    <hyperlink ref="D35" r:id="rId83" xr:uid="{BF79DCD4-3C25-4E8F-8395-D972945E5EC4}"/>
    <hyperlink ref="F35" r:id="rId84" xr:uid="{1D0ACF0C-11FF-4FC6-8BB0-3586EA1E6387}"/>
    <hyperlink ref="H35" r:id="rId85" xr:uid="{C540E311-49E1-4E25-BAE7-601F0902969F}"/>
    <hyperlink ref="Q35" r:id="rId86" xr:uid="{D0A85E6F-5999-4612-A6EA-6EB7C84F8264}"/>
    <hyperlink ref="K35" r:id="rId87" xr:uid="{E2E57E41-B2D0-4AC7-9DED-120518CC868B}"/>
    <hyperlink ref="D36" r:id="rId88" xr:uid="{9AE0D133-E281-4212-8152-E0911ACBE389}"/>
    <hyperlink ref="F36" r:id="rId89" xr:uid="{29334CE8-B035-4180-97F8-0B51A6E177EB}"/>
    <hyperlink ref="Q36" r:id="rId90" xr:uid="{F603B735-34D1-4988-8EF4-E5DE69AE5DC6}"/>
    <hyperlink ref="K36" r:id="rId91" xr:uid="{7D6966E7-CF0A-40DF-87DF-93E14B2658D7}"/>
    <hyperlink ref="D37" r:id="rId92" xr:uid="{CBCE4D27-256F-4797-A3CB-1C4DB0074E43}"/>
    <hyperlink ref="F37" r:id="rId93" xr:uid="{CCF8260E-FB3D-4F51-B182-574E0A7D23B0}"/>
    <hyperlink ref="Q37" r:id="rId94" xr:uid="{0E0E4407-28FF-4D2C-9FE7-E3F895DADB12}"/>
    <hyperlink ref="K37" r:id="rId95" xr:uid="{DFEB6080-4C73-4FED-A1AC-A1AB67BAF5D6}"/>
    <hyperlink ref="J19" r:id="rId96" xr:uid="{A4AEF667-104E-419D-8A39-546A3DFFBAB6}"/>
    <hyperlink ref="J20" r:id="rId97" xr:uid="{03AED6D4-18C8-4A81-AE2B-08575403E174}"/>
    <hyperlink ref="J21" r:id="rId98" xr:uid="{A3DF3B4A-25DD-45A3-9004-4FF3015AC785}"/>
    <hyperlink ref="I21" r:id="rId99" xr:uid="{720EB788-3DCE-4C2B-ABC6-9C06050E026F}"/>
    <hyperlink ref="D38" r:id="rId100" xr:uid="{410F9552-447E-46C9-B0BE-1CB52E837626}"/>
    <hyperlink ref="K21" r:id="rId101" xr:uid="{6F39C31B-AA53-48B6-9F5D-A1E17BD429B5}"/>
    <hyperlink ref="F38" r:id="rId102" xr:uid="{28EAA835-5B2B-4E1B-B361-C031DD5A50CF}"/>
    <hyperlink ref="I22" r:id="rId103" xr:uid="{05051EA0-8C4E-46CB-84A6-6725595FCD53}"/>
    <hyperlink ref="J22" r:id="rId104" xr:uid="{9745C636-3ADA-4D9A-BA9E-D9027149189F}"/>
    <hyperlink ref="D39" r:id="rId105" xr:uid="{BCE12A28-32FB-45B8-8576-E9A0C940BD24}"/>
    <hyperlink ref="K23" r:id="rId106" xr:uid="{470FEF70-F021-4E61-B68C-99C6096B9C71}"/>
    <hyperlink ref="F39" r:id="rId107" xr:uid="{0A753E97-408F-4183-84B2-FA83A5F3F693}"/>
    <hyperlink ref="Q23" r:id="rId108" xr:uid="{56018EA0-7E89-4452-B25F-F55FC056E669}"/>
    <hyperlink ref="K39" r:id="rId109" xr:uid="{4B80A3BD-2D9F-4E75-9D74-BFF591378B96}"/>
    <hyperlink ref="H39" r:id="rId110" xr:uid="{B827F6EC-A7AE-4EE9-8156-FFE93B826274}"/>
    <hyperlink ref="D40" r:id="rId111" xr:uid="{8A4DE977-9388-494B-B3CD-C081E2B24E90}"/>
    <hyperlink ref="D42" r:id="rId112" xr:uid="{0763A60A-59F5-40A1-B12A-B7C802AB8A46}"/>
    <hyperlink ref="F42" r:id="rId113" xr:uid="{DB46A4F1-25EA-4DA5-9E2A-B6E5C88E0D52}"/>
    <hyperlink ref="D43" r:id="rId114" xr:uid="{22881F40-8DFD-4422-943C-72F597C456D7}"/>
    <hyperlink ref="F43" r:id="rId115" xr:uid="{AB354DBF-05C6-4E8B-BA1A-2F75EB1B2FAE}"/>
    <hyperlink ref="K43" r:id="rId116" xr:uid="{FA65E048-421C-4D80-A9E8-0A49BBF10B31}"/>
    <hyperlink ref="H43" r:id="rId117" xr:uid="{44DA666C-6790-4DAE-90F0-3EA2B79E7D99}"/>
    <hyperlink ref="H42" r:id="rId118" xr:uid="{243680C8-01AD-4932-82E6-9EE650D51488}"/>
    <hyperlink ref="I42" r:id="rId119" xr:uid="{F1F45D6E-2D8E-4D95-AC50-5F30FFE88DEC}"/>
    <hyperlink ref="I43" r:id="rId120" xr:uid="{0B0054A1-B44F-48CF-879F-F7CCC9D84295}"/>
    <hyperlink ref="J43" r:id="rId121" xr:uid="{88E1B2AD-FE3B-47B3-9437-28EB8FE5F1A0}"/>
    <hyperlink ref="J42" r:id="rId122" xr:uid="{3CF6759D-F74C-4213-92BD-F3A2002BE820}"/>
    <hyperlink ref="D44" r:id="rId123" xr:uid="{01CC8433-F582-4D80-9775-B93BA885D40D}"/>
    <hyperlink ref="F44" r:id="rId124" xr:uid="{2EEEB377-B52F-442A-8666-444EFEC69561}"/>
    <hyperlink ref="K44" r:id="rId125" xr:uid="{A1543C0C-5362-4BED-94F9-E4A635D3A28E}"/>
    <hyperlink ref="I44" r:id="rId126" xr:uid="{FF9967DB-905A-43E4-84B7-68C0103C9DEA}"/>
    <hyperlink ref="G44" r:id="rId127" xr:uid="{CD53C67B-EE1A-42B2-A342-4CE0588DA954}"/>
    <hyperlink ref="K42" r:id="rId128" xr:uid="{FE8CBD7B-AD92-41C6-AC83-63CE46C1256F}"/>
    <hyperlink ref="F50" r:id="rId129" xr:uid="{05E3DA51-9E3F-4B7A-BDE9-E4A79D2E1D54}"/>
    <hyperlink ref="F47" r:id="rId130" xr:uid="{F930261E-62F6-4F2E-B4F1-51950CCF19CF}"/>
    <hyperlink ref="F48" r:id="rId131" xr:uid="{7E474FD3-A059-44E5-85A9-6C1D1FD85F99}"/>
    <hyperlink ref="D51" r:id="rId132" xr:uid="{324A1BA0-7982-4441-B8E0-A36C6B24586F}"/>
    <hyperlink ref="F51" r:id="rId133" xr:uid="{30601E40-295A-4B92-BF39-23DCC5AD1F7A}"/>
    <hyperlink ref="D45" r:id="rId134" xr:uid="{91EDF83D-3E8D-4C1E-9533-06EB61740B87}"/>
    <hyperlink ref="I50" r:id="rId135" display="https://www.tiktok.com/@ethiopiangreenrestaurant?_r=1" xr:uid="{CCB04746-7C53-47DF-873E-D5ED8A92740F}"/>
    <hyperlink ref="J50" r:id="rId136" display="https://www.facebook.com/share/1DsW8PAawJ/?mibextid=wwXIfr" xr:uid="{9A4B8303-6267-444B-8701-C30AEC3AE3A7}"/>
    <hyperlink ref="K51" r:id="rId137" xr:uid="{2F5C11C1-FFB3-4DA7-8AF1-9EABB7E5E668}"/>
    <hyperlink ref="G51" r:id="rId138" xr:uid="{5CE96A7D-BE30-4722-879F-803B11A7F115}"/>
    <hyperlink ref="Q50" r:id="rId139" display="https://maps.app.goo.gl/dvBzGH9ri9VnjRMy8" xr:uid="{529AA74D-DEEF-4C4A-80BF-21932C507999}"/>
    <hyperlink ref="F45" r:id="rId140" xr:uid="{C08D4D4F-BDAD-4389-956D-6160CED7AFF8}"/>
    <hyperlink ref="F52" r:id="rId141" xr:uid="{5B16D8D3-9DB3-47F1-ADC3-F0E1E4B762A0}"/>
    <hyperlink ref="H51" r:id="rId142" xr:uid="{D57BF0A6-3970-4704-89D0-84650BC736E2}"/>
    <hyperlink ref="I45" r:id="rId143" xr:uid="{DB208DF6-C99B-4905-A257-DBA0C915A5F3}"/>
    <hyperlink ref="F49" r:id="rId144" xr:uid="{982E4664-DC32-4E00-B8F8-FAC3B45A0B70}"/>
    <hyperlink ref="I51" r:id="rId145" xr:uid="{920BADF0-D0FF-4C83-80A1-24A22DD5623E}"/>
    <hyperlink ref="J51" r:id="rId146" xr:uid="{22B5D95A-6756-4857-9394-886A48872D7F}"/>
    <hyperlink ref="K45" r:id="rId147" xr:uid="{642216E1-A7A5-4C66-9EB0-C48704037B26}"/>
    <hyperlink ref="D54" r:id="rId148" xr:uid="{18303B92-318C-4821-97C9-58E5A615FFC3}"/>
    <hyperlink ref="J52" r:id="rId149" display="https://www.facebook.com/share/1FzuHTCXBe/?mibextid=wwXIfr" xr:uid="{9345E2CF-5069-4543-A5D9-027C921F0473}"/>
    <hyperlink ref="F54" r:id="rId150" xr:uid="{687C902D-D58B-44A9-91AB-C1063187F69B}"/>
    <hyperlink ref="K48" r:id="rId151" display="https://hctuae-my.sharepoint.com/:b:/r/personal/h00540244_hct_ac_ae/Documents/Fike_Kurtena_Kitfo.pdf?csf=1&amp;web=1&amp;e=aaC5O3 " xr:uid="{FFA6A88E-7283-4208-A1D6-80C73935972A}"/>
    <hyperlink ref="H54" r:id="rId152" xr:uid="{5DE398D1-B9BE-4ED1-87D9-B81A1CCF7255}"/>
    <hyperlink ref="J54" r:id="rId153" xr:uid="{C27F4E65-3D4C-4380-A497-C2D3C1B51F1A}"/>
    <hyperlink ref="I54" r:id="rId154" xr:uid="{666EA906-C0DD-4A01-BF7B-9FF676AA3177}"/>
    <hyperlink ref="F55" r:id="rId155" xr:uid="{54AFD18B-7FE5-4FC2-90A2-F0DD183246CA}"/>
    <hyperlink ref="L3" r:id="rId156" xr:uid="{370CCC2A-B6D7-4EF0-8C0D-FAF6CEE2F09F}"/>
    <hyperlink ref="L4" r:id="rId157" xr:uid="{F9579F6B-3028-4FE5-81AB-78548CD61DE8}"/>
    <hyperlink ref="M4" r:id="rId158" xr:uid="{F38119F0-F51C-4AB6-B7DC-4002FDE4AD56}"/>
    <hyperlink ref="I55" r:id="rId159" display="https://www.tiktok.com/@cucinmesob?_r=1&amp;_t=ZS-97NNCuD96KT" xr:uid="{2C544CDD-8E05-4614-8D86-7AB93796C679}"/>
    <hyperlink ref="Q42" r:id="rId160" xr:uid="{87F47B27-D98A-4006-B540-E198B859CED3}"/>
    <hyperlink ref="L5" r:id="rId161" xr:uid="{8BF9C88B-6750-4E02-94F8-F6FFA644E26B}"/>
    <hyperlink ref="Q43" r:id="rId162" xr:uid="{554C7D40-CCFA-4997-837A-ED449653FC76}"/>
    <hyperlink ref="Q44" r:id="rId163" xr:uid="{6C731A52-C347-4F3F-B235-F8AFDEC4F326}"/>
    <hyperlink ref="J55" r:id="rId164" display="https://www.facebook.com/share/18wHVYpLk4/?mibextid=wwXIfr" xr:uid="{EAB3116F-9B39-4816-BDBA-929FEEBECCC8}"/>
    <hyperlink ref="Q45" r:id="rId165" xr:uid="{72ADFA75-B06A-478F-A45A-119A08479B1C}"/>
    <hyperlink ref="M5" r:id="rId166" display="noon" xr:uid="{C130BB22-2DCA-4926-8D56-A4CA5868E74E}"/>
    <hyperlink ref="K54" r:id="rId167" xr:uid="{4790EE04-DCB7-4EF8-B5E0-643A2D8B2A32}"/>
    <hyperlink ref="K38" r:id="rId168" xr:uid="{1A9837C5-CFCC-4894-B84B-FD41C9F42BF0}"/>
    <hyperlink ref="Q55" r:id="rId169" display="https://maps.app.goo.gl/Bvyx6K86TjbUGteFA" xr:uid="{C15A5875-BFD9-4375-A3C7-A06C8D720334}"/>
    <hyperlink ref="H38" r:id="rId170" xr:uid="{3EA7C1E5-EB73-4F4F-B204-54A3F83BCF0C}"/>
    <hyperlink ref="I38" r:id="rId171" xr:uid="{F2F33E3C-6340-4BA4-9728-6E5BE5B0AE62}"/>
    <hyperlink ref="J38" r:id="rId172" xr:uid="{F9F8569B-245A-43BA-84FF-58D3EDE38407}"/>
    <hyperlink ref="F56" r:id="rId173" xr:uid="{5AC993EF-AF32-49C1-AA33-C42658279F49}"/>
    <hyperlink ref="I56" r:id="rId174" display="https://www.tiktok.com/@beteseb19?_r=1&amp;_t=ZS-97NP3y2scke" xr:uid="{598184BE-02C0-4203-88B5-23F5FC95DEEC}"/>
    <hyperlink ref="J56" r:id="rId175" display="https://www.facebook.com/share/193Ej15fne/?mibextid=wwXIfr" xr:uid="{8B2EB38F-6E20-4670-97B6-222380F6A787}"/>
    <hyperlink ref="G38" r:id="rId176" xr:uid="{7FD5C650-AF7E-4901-A449-BAF1A35B25B0}"/>
    <hyperlink ref="I39" r:id="rId177" xr:uid="{013D1E30-5C09-4216-9D3B-754523669A13}"/>
    <hyperlink ref="J39" r:id="rId178" xr:uid="{2FEB6CC1-E2F0-46D5-B31B-51C3EE05FE4F}"/>
    <hyperlink ref="D15" r:id="rId179" xr:uid="{48DC1DA7-4759-4427-993A-8F6DCB08E298}"/>
    <hyperlink ref="D14" r:id="rId180" xr:uid="{2CDF0CD2-1329-419F-9768-FA87083AC4D1}"/>
    <hyperlink ref="G15" r:id="rId181" xr:uid="{5D8CC8FB-1AC4-4A5C-AEDA-8A8BD064FA52}"/>
    <hyperlink ref="H40" r:id="rId182" xr:uid="{235716AB-DCCA-4A68-B25C-E30F2A5A3ACC}"/>
    <hyperlink ref="Q57" r:id="rId183" display="https://maps.app.goo.gl/nz9q7D8CoY2aqBF87" xr:uid="{C8467ED4-2637-4911-8C31-227E33021386}"/>
    <hyperlink ref="H15" r:id="rId184" xr:uid="{96626CC2-2829-4577-A363-EBA3881C7634}"/>
    <hyperlink ref="I40" r:id="rId185" xr:uid="{1B9A093A-57CF-446D-9A7D-B99811CEA557}"/>
    <hyperlink ref="J15" r:id="rId186" xr:uid="{E8127A21-45FD-4F8E-8701-DFFB0E61683B}"/>
    <hyperlink ref="L12" r:id="rId187" xr:uid="{59B2A51E-95D3-47F7-BDE2-AB683CB2408A}"/>
    <hyperlink ref="K40" r:id="rId188" xr:uid="{08CF9DF4-FA54-4074-A819-F5C7B6791380}"/>
    <hyperlink ref="M12" r:id="rId189" xr:uid="{46097D3C-FDBB-4116-A40D-144AF4A2455B}"/>
    <hyperlink ref="H57" r:id="rId190" display="https://www.instagram.com/zagol__restaurant" xr:uid="{BC0C2103-0381-49C3-A614-55BD834EDE57}"/>
    <hyperlink ref="I57" r:id="rId191" display="https://www.tiktok.com/@zagol.dubai?_r=1&amp;_t=ZS-97NRcA08hC0" xr:uid="{F0A80338-9390-43C9-8869-7731CF447A5C}"/>
    <hyperlink ref="J57" r:id="rId192" display="https://www.facebook.com/share/1T1LhVFZ5y/?mibextid=wwXIfr" xr:uid="{A61FD2D4-5AC2-4D82-BEFF-F940ECEA676B}"/>
    <hyperlink ref="F40" r:id="rId193" xr:uid="{1AB1368A-56D8-4D53-8C45-755E256C05BF}"/>
    <hyperlink ref="G7" r:id="rId194" xr:uid="{2B4ACFBE-D848-4380-86F0-535225549023}"/>
    <hyperlink ref="L7" r:id="rId195" xr:uid="{A2766A17-067E-40F6-B8D5-AD9C2CB2DF96}"/>
    <hyperlink ref="L9" r:id="rId196" xr:uid="{137A76C8-CC89-4EBC-8936-7A56E537343E}"/>
    <hyperlink ref="D10" r:id="rId197" xr:uid="{B8BBA1FC-D25E-4D1D-84B9-8B60F0079B0D}"/>
    <hyperlink ref="F57" r:id="rId198" xr:uid="{91244F41-20E7-4F48-8DF3-B5A54CF938CE}"/>
    <hyperlink ref="K57" r:id="rId199" display="https://drive.google.com/drive/folders/1SZUEONCwBA_-S7-dPqbtMHESAigy-RBx?usp=sharing" xr:uid="{7AE1D148-DD5E-419B-A6D8-C64B10343844}"/>
    <hyperlink ref="G27" r:id="rId200" xr:uid="{1C7AB2AC-91CB-4ACA-9746-6F3D2615490A}"/>
    <hyperlink ref="K27" r:id="rId201" xr:uid="{0673939F-F1EF-48E0-8708-994BBD635E8C}"/>
    <hyperlink ref="D58" r:id="rId202" xr:uid="{F9E60B05-22DB-49EA-A719-E59D41924147}"/>
    <hyperlink ref="F58" r:id="rId203" xr:uid="{E79C8A16-B27E-49BC-A7E8-38C7AEDFA6B1}"/>
    <hyperlink ref="H58" r:id="rId204" xr:uid="{8967A58D-3E56-4A7B-A0FC-AE13B88A09BD}"/>
    <hyperlink ref="I58" r:id="rId205" xr:uid="{9AF4F4B2-6BF5-40A7-A3F7-789D1D0B0E21}"/>
    <hyperlink ref="D59" r:id="rId206" xr:uid="{FB933363-D527-4A0E-8EF5-C80FCB7F74AB}"/>
    <hyperlink ref="F59" r:id="rId207" xr:uid="{E2EFBFA7-F878-42C7-92EB-F4CC130D3DD2}"/>
    <hyperlink ref="H59" r:id="rId208" xr:uid="{04263576-FB50-4330-94E3-5ED9255383E1}"/>
    <hyperlink ref="D60" r:id="rId209" xr:uid="{2272528E-DFC2-4683-AFBA-A2B454BFB249}"/>
    <hyperlink ref="F60" r:id="rId210" xr:uid="{BE59A662-E8DB-41C8-B87E-2F5531CA3ACA}"/>
    <hyperlink ref="H60" r:id="rId211" xr:uid="{207AB05C-AD7C-48E2-BDE4-F32435B0B1C0}"/>
    <hyperlink ref="D61" r:id="rId212" xr:uid="{B6CF0D1F-13D2-4E45-AAA7-0C31B43564E5}"/>
    <hyperlink ref="F61" r:id="rId213" xr:uid="{228611E2-816B-4E60-A00F-A04061C4078D}"/>
    <hyperlink ref="H61" r:id="rId214" xr:uid="{597CC27B-8489-4E90-90D6-B681C5C263DF}"/>
    <hyperlink ref="D62" r:id="rId215" xr:uid="{40A5CDC3-0F51-41B5-9EFD-036E27ABDFE6}"/>
    <hyperlink ref="F62" r:id="rId216" xr:uid="{9AEBCD50-7170-4D22-ABD8-8DAE85E220B6}"/>
    <hyperlink ref="J62" r:id="rId217" xr:uid="{2F76BE61-0ADF-4C85-8AB3-A6CEBB33AD7B}"/>
    <hyperlink ref="Q62" r:id="rId218" xr:uid="{BBFF5565-2C89-4F4D-9846-63CC954478D0}"/>
    <hyperlink ref="I62" r:id="rId219" xr:uid="{EEB35DAE-9966-448D-A2A7-E4A577570EC4}"/>
    <hyperlink ref="K62" r:id="rId220" xr:uid="{56103989-B098-4FFC-8730-BB406C6BD32E}"/>
    <hyperlink ref="G61" r:id="rId221" xr:uid="{157EABCC-1C38-4B50-860B-BC8FD5C4DB1D}"/>
    <hyperlink ref="Q61" r:id="rId222" xr:uid="{238156EB-6C04-4004-85A8-450C9350DDDA}"/>
    <hyperlink ref="K61" r:id="rId223" xr:uid="{0568E2E8-2CEB-4336-BDC4-1A309390A219}"/>
    <hyperlink ref="J58" r:id="rId224" xr:uid="{DE854966-5B72-4609-9DF6-511493CB2E53}"/>
    <hyperlink ref="Q58" r:id="rId225" xr:uid="{5B1FFDC4-0677-410B-9815-AC1D6C03E357}"/>
    <hyperlink ref="K58" r:id="rId226" xr:uid="{5B9A337E-D3AC-4A85-AAA7-1F2E87BB0E4D}"/>
    <hyperlink ref="J59" r:id="rId227" xr:uid="{4C2F6AFE-CB19-4CEE-B5C3-A9D3AE42921D}"/>
    <hyperlink ref="I59" r:id="rId228" xr:uid="{C8AEECEC-D844-4785-89B0-BEA4C46C0BC6}"/>
    <hyperlink ref="Q59" r:id="rId229" xr:uid="{FD6848F8-8672-45C3-AB74-B2B87598E2BC}"/>
    <hyperlink ref="J60" r:id="rId230" xr:uid="{A3F63D1B-1934-414D-AFC6-52CDC2C5FE88}"/>
    <hyperlink ref="I60" r:id="rId231" xr:uid="{13613520-4624-498D-867E-FA8120239A52}"/>
    <hyperlink ref="I61" r:id="rId232" xr:uid="{C1EC6A9C-333D-47A3-AD81-EB9D95547872}"/>
    <hyperlink ref="J61" r:id="rId233" xr:uid="{CB932AFB-852E-407C-BCA2-B4C5D1BCE229}"/>
    <hyperlink ref="Q60" r:id="rId234" xr:uid="{4A4A0734-F4AB-4CB3-8D74-F821BE87FB9D}"/>
    <hyperlink ref="H62" r:id="rId235" xr:uid="{4C41D51F-A9CC-4A39-93F4-1DD8FCCACA3D}"/>
    <hyperlink ref="J29" r:id="rId236" xr:uid="{AE8A857E-CB17-4FA7-8B46-3E19308340ED}"/>
    <hyperlink ref="J25" r:id="rId237" xr:uid="{25FE689A-DED7-4A27-B10D-0A80F2B651F7}"/>
  </hyperlinks>
  <pageMargins left="0.7" right="0.7" top="0.75" bottom="0.75" header="0.3" footer="0.3"/>
  <pageSetup orientation="portrait" r:id="rId2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Blen Gebeyehu Zemenay(H00540244)</dc:creator>
  <cp:keywords/>
  <dc:description/>
  <cp:lastModifiedBy>Alazar Wake Kore(H00540226)</cp:lastModifiedBy>
  <cp:revision/>
  <dcterms:created xsi:type="dcterms:W3CDTF">2026-06-18T17:15:38Z</dcterms:created>
  <dcterms:modified xsi:type="dcterms:W3CDTF">2026-07-10T17:03:56Z</dcterms:modified>
  <cp:category/>
  <cp:contentStatus/>
</cp:coreProperties>
</file>